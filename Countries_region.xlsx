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comments1.xml" ContentType="application/vnd.openxmlformats-officedocument.spreadsheetml.comments+xml"/>
  <Override PartName="/xl/queryTables/queryTable3.xml" ContentType="application/vnd.openxmlformats-officedocument.spreadsheetml.queryTable+xml"/>
  <Override PartName="/xl/comments2.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3.xml" ContentType="application/vnd.openxmlformats-officedocument.spreadsheetml.comments+xml"/>
  <Override PartName="/xl/tables/table4.xml" ContentType="application/vnd.openxmlformats-officedocument.spreadsheetml.table+xml"/>
  <Override PartName="/xl/queryTables/queryTable4.xml" ContentType="application/vnd.openxmlformats-officedocument.spreadsheetml.queryTable+xml"/>
  <Override PartName="/xl/comments4.xml" ContentType="application/vnd.openxmlformats-officedocument.spreadsheetml.comments+xml"/>
  <Override PartName="/xl/tables/table5.xml" ContentType="application/vnd.openxmlformats-officedocument.spreadsheetml.table+xml"/>
  <Override PartName="/xl/queryTables/queryTable5.xml" ContentType="application/vnd.openxmlformats-officedocument.spreadsheetml.queryTable+xml"/>
  <Override PartName="/xl/comments5.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omments6.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User\Desktop\Project\"/>
    </mc:Choice>
  </mc:AlternateContent>
  <bookViews>
    <workbookView xWindow="0" yWindow="0" windowWidth="20490" windowHeight="7650" firstSheet="4" activeTab="8"/>
  </bookViews>
  <sheets>
    <sheet name="MainTable" sheetId="7" r:id="rId1"/>
    <sheet name="column function &amp; word replace" sheetId="8" r:id="rId2"/>
    <sheet name="Formulas" sheetId="9" r:id="rId3"/>
    <sheet name="Table with filter" sheetId="11" r:id="rId4"/>
    <sheet name="powerQuery Table" sheetId="14" r:id="rId5"/>
    <sheet name="lookup_functions" sheetId="15" r:id="rId6"/>
    <sheet name="Conditional_formatting" sheetId="16" r:id="rId7"/>
    <sheet name="PivotTable" sheetId="20" r:id="rId8"/>
    <sheet name="Dashboard" sheetId="18" r:id="rId9"/>
  </sheets>
  <definedNames>
    <definedName name="a.csv_3" localSheetId="1">'column function &amp; word replace'!$A$1:$A$183</definedName>
    <definedName name="a.csv_3" localSheetId="2">Formulas!$A$1:$A$183</definedName>
    <definedName name="a.csv_3" localSheetId="0">MainTable!$A$1:$A$183</definedName>
    <definedName name="ExternalData_1" localSheetId="6" hidden="1">Conditional_formatting!$A$1:$P$183</definedName>
    <definedName name="ExternalData_1" localSheetId="4" hidden="1">'powerQuery Table'!$A$1:$P$183</definedName>
    <definedName name="powerquery">'powerQuery Table'!$G$20</definedName>
    <definedName name="Slicer_Continent">#N/A</definedName>
    <definedName name="Slicer_Development_Level">#N/A</definedName>
    <definedName name="Slicer_Unemployment_Level">#N/A</definedName>
    <definedName name="Slicer_Wage_Rating">#N/A</definedName>
  </definedNames>
  <calcPr calcId="162913"/>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3" i="18" l="1"/>
  <c r="B64" i="18"/>
  <c r="B65" i="18"/>
  <c r="B66" i="18"/>
  <c r="A64" i="18"/>
  <c r="A65" i="18"/>
  <c r="F12" i="18" s="1"/>
  <c r="A66" i="18"/>
  <c r="F13" i="18" s="1"/>
  <c r="A63" i="18"/>
  <c r="F10" i="18" s="1"/>
  <c r="G10" i="18" l="1"/>
  <c r="G12" i="18"/>
  <c r="G13" i="18"/>
  <c r="F11" i="18"/>
  <c r="G11" i="18" s="1"/>
  <c r="A60" i="18"/>
  <c r="C15" i="18" s="1"/>
  <c r="B55" i="18"/>
  <c r="B56" i="18"/>
  <c r="B57" i="18"/>
  <c r="B58" i="18"/>
  <c r="B59" i="18"/>
  <c r="A56" i="18"/>
  <c r="C11" i="18" s="1"/>
  <c r="A57" i="18"/>
  <c r="C12" i="18" s="1"/>
  <c r="A58" i="18"/>
  <c r="C13" i="18" s="1"/>
  <c r="A59" i="18"/>
  <c r="C14" i="18" s="1"/>
  <c r="A55" i="18"/>
  <c r="C10" i="18" s="1"/>
  <c r="B60" i="18"/>
  <c r="D11" i="18" l="1"/>
  <c r="D12" i="18"/>
  <c r="D13" i="18"/>
  <c r="D14" i="18"/>
  <c r="D15" i="18"/>
  <c r="D10" i="18"/>
  <c r="F21" i="15" l="1"/>
  <c r="B21" i="15"/>
  <c r="E15" i="15"/>
  <c r="D15" i="15"/>
  <c r="P15" i="15"/>
  <c r="O15" i="15"/>
  <c r="N15" i="15"/>
  <c r="M15" i="15"/>
  <c r="L15" i="15"/>
  <c r="K15" i="15"/>
  <c r="J15" i="15"/>
  <c r="I15" i="15"/>
  <c r="F15" i="15"/>
  <c r="H15" i="15"/>
  <c r="G15" i="15"/>
  <c r="C15" i="15"/>
  <c r="B15" i="15"/>
  <c r="C9" i="15" l="1"/>
  <c r="C3" i="15"/>
  <c r="B9" i="15"/>
  <c r="B3" i="15"/>
  <c r="H3" i="15" l="1"/>
  <c r="P183" i="11" l="1"/>
  <c r="O183" i="11"/>
  <c r="P182" i="11"/>
  <c r="O182" i="11"/>
  <c r="P181" i="11"/>
  <c r="O181" i="11"/>
  <c r="P180" i="11"/>
  <c r="O180" i="11"/>
  <c r="P179" i="11"/>
  <c r="O179" i="11"/>
  <c r="P178" i="11"/>
  <c r="O178" i="11"/>
  <c r="P177" i="11"/>
  <c r="O177" i="11"/>
  <c r="P176" i="11"/>
  <c r="O176" i="11"/>
  <c r="P175" i="11"/>
  <c r="O175" i="11"/>
  <c r="P174" i="11"/>
  <c r="O174" i="11"/>
  <c r="P173" i="11"/>
  <c r="O173" i="11"/>
  <c r="P172" i="11"/>
  <c r="O172" i="11"/>
  <c r="P171" i="11"/>
  <c r="O171" i="11"/>
  <c r="P170" i="11"/>
  <c r="O170" i="11"/>
  <c r="P169" i="11"/>
  <c r="O169" i="11"/>
  <c r="P168" i="11"/>
  <c r="O168" i="11"/>
  <c r="P167" i="11"/>
  <c r="O167" i="11"/>
  <c r="P166" i="11"/>
  <c r="O166" i="11"/>
  <c r="P165" i="11"/>
  <c r="O165" i="11"/>
  <c r="P164" i="11"/>
  <c r="O164" i="11"/>
  <c r="P163" i="11"/>
  <c r="O163" i="11"/>
  <c r="P162" i="11"/>
  <c r="O162" i="11"/>
  <c r="P161" i="11"/>
  <c r="O161" i="11"/>
  <c r="P160" i="11"/>
  <c r="O160" i="11"/>
  <c r="P159" i="11"/>
  <c r="O159" i="11"/>
  <c r="P158" i="11"/>
  <c r="O158" i="11"/>
  <c r="P157" i="11"/>
  <c r="O157" i="11"/>
  <c r="P156" i="11"/>
  <c r="O156" i="11"/>
  <c r="P155" i="11"/>
  <c r="O155" i="11"/>
  <c r="P154" i="11"/>
  <c r="O154" i="11"/>
  <c r="P153" i="11"/>
  <c r="O153" i="11"/>
  <c r="P152" i="11"/>
  <c r="O152" i="11"/>
  <c r="P151" i="11"/>
  <c r="O151" i="11"/>
  <c r="P150" i="11"/>
  <c r="O150" i="11"/>
  <c r="P149" i="11"/>
  <c r="O149" i="11"/>
  <c r="P148" i="11"/>
  <c r="O148" i="11"/>
  <c r="P147" i="11"/>
  <c r="O147" i="11"/>
  <c r="P146" i="11"/>
  <c r="O146" i="11"/>
  <c r="P145" i="11"/>
  <c r="O145" i="11"/>
  <c r="P144" i="11"/>
  <c r="O144" i="11"/>
  <c r="P143" i="11"/>
  <c r="O143" i="11"/>
  <c r="P142" i="11"/>
  <c r="O142" i="11"/>
  <c r="P141" i="11"/>
  <c r="O141" i="11"/>
  <c r="P140" i="11"/>
  <c r="O140" i="11"/>
  <c r="P139" i="11"/>
  <c r="O139" i="11"/>
  <c r="P138" i="11"/>
  <c r="O138" i="11"/>
  <c r="P137" i="11"/>
  <c r="O137" i="11"/>
  <c r="P136" i="11"/>
  <c r="O136" i="11"/>
  <c r="P135" i="11"/>
  <c r="O135" i="11"/>
  <c r="P134" i="11"/>
  <c r="O134" i="11"/>
  <c r="P133" i="11"/>
  <c r="O133" i="11"/>
  <c r="P132" i="11"/>
  <c r="O132" i="11"/>
  <c r="P131" i="11"/>
  <c r="O131" i="11"/>
  <c r="P130" i="11"/>
  <c r="O130" i="11"/>
  <c r="P129" i="11"/>
  <c r="O129" i="11"/>
  <c r="P128" i="11"/>
  <c r="O128" i="11"/>
  <c r="P127" i="11"/>
  <c r="O127" i="11"/>
  <c r="P126" i="11"/>
  <c r="O126" i="11"/>
  <c r="P125" i="11"/>
  <c r="O125" i="11"/>
  <c r="P124" i="11"/>
  <c r="O124" i="11"/>
  <c r="P123" i="11"/>
  <c r="O123" i="11"/>
  <c r="P122" i="11"/>
  <c r="O122" i="11"/>
  <c r="P121" i="11"/>
  <c r="O121" i="11"/>
  <c r="P120" i="11"/>
  <c r="O120" i="11"/>
  <c r="P119" i="11"/>
  <c r="O119" i="11"/>
  <c r="P118" i="11"/>
  <c r="O118" i="11"/>
  <c r="P117" i="11"/>
  <c r="O117" i="11"/>
  <c r="P116" i="11"/>
  <c r="O116" i="11"/>
  <c r="P115" i="11"/>
  <c r="O115" i="11"/>
  <c r="P114" i="11"/>
  <c r="O114" i="11"/>
  <c r="P113" i="11"/>
  <c r="O113" i="11"/>
  <c r="P112" i="11"/>
  <c r="O112" i="11"/>
  <c r="P111" i="11"/>
  <c r="O111" i="11"/>
  <c r="P110" i="11"/>
  <c r="O110" i="11"/>
  <c r="P109" i="11"/>
  <c r="O109" i="11"/>
  <c r="P108" i="11"/>
  <c r="O108" i="11"/>
  <c r="P107" i="11"/>
  <c r="O107" i="11"/>
  <c r="P106" i="11"/>
  <c r="O106" i="11"/>
  <c r="P105" i="11"/>
  <c r="O105" i="11"/>
  <c r="P104" i="11"/>
  <c r="O104" i="11"/>
  <c r="P103" i="11"/>
  <c r="O103" i="11"/>
  <c r="P102" i="11"/>
  <c r="O102" i="11"/>
  <c r="P101" i="11"/>
  <c r="O101" i="11"/>
  <c r="P100" i="11"/>
  <c r="O100" i="11"/>
  <c r="P99" i="11"/>
  <c r="O99" i="11"/>
  <c r="P98" i="11"/>
  <c r="O98" i="11"/>
  <c r="P97" i="11"/>
  <c r="O97" i="11"/>
  <c r="P96" i="11"/>
  <c r="O96" i="11"/>
  <c r="P95" i="11"/>
  <c r="O95" i="11"/>
  <c r="P94" i="11"/>
  <c r="O94" i="11"/>
  <c r="P93" i="11"/>
  <c r="O93" i="11"/>
  <c r="P92" i="11"/>
  <c r="O92" i="11"/>
  <c r="P91" i="11"/>
  <c r="O91" i="11"/>
  <c r="P90" i="11"/>
  <c r="O90" i="11"/>
  <c r="P89" i="11"/>
  <c r="O89" i="11"/>
  <c r="P88" i="11"/>
  <c r="O88" i="11"/>
  <c r="P87" i="11"/>
  <c r="O87" i="11"/>
  <c r="P86" i="11"/>
  <c r="O86" i="11"/>
  <c r="P85" i="11"/>
  <c r="O85" i="11"/>
  <c r="P84" i="11"/>
  <c r="O84" i="11"/>
  <c r="P83" i="11"/>
  <c r="O83" i="11"/>
  <c r="P82" i="11"/>
  <c r="O82" i="11"/>
  <c r="P81" i="11"/>
  <c r="O81" i="11"/>
  <c r="P80" i="11"/>
  <c r="O80" i="11"/>
  <c r="P79" i="11"/>
  <c r="O79" i="11"/>
  <c r="P78" i="11"/>
  <c r="O78" i="11"/>
  <c r="P77" i="11"/>
  <c r="O77" i="11"/>
  <c r="P76" i="11"/>
  <c r="O76" i="11"/>
  <c r="P75" i="11"/>
  <c r="O75" i="11"/>
  <c r="P74" i="11"/>
  <c r="O74" i="11"/>
  <c r="P73" i="11"/>
  <c r="O73" i="11"/>
  <c r="P72" i="11"/>
  <c r="O72" i="11"/>
  <c r="P71" i="11"/>
  <c r="O71" i="11"/>
  <c r="P70" i="11"/>
  <c r="O70" i="11"/>
  <c r="P69" i="11"/>
  <c r="O69" i="11"/>
  <c r="P68" i="11"/>
  <c r="O68" i="11"/>
  <c r="P67" i="11"/>
  <c r="O67" i="11"/>
  <c r="P66" i="11"/>
  <c r="O66" i="11"/>
  <c r="P65" i="11"/>
  <c r="O65" i="11"/>
  <c r="P64" i="11"/>
  <c r="O64" i="11"/>
  <c r="P63" i="11"/>
  <c r="O63" i="11"/>
  <c r="P62" i="11"/>
  <c r="O62" i="11"/>
  <c r="P61" i="11"/>
  <c r="O61" i="11"/>
  <c r="P60" i="11"/>
  <c r="O60" i="11"/>
  <c r="P59" i="11"/>
  <c r="O59" i="11"/>
  <c r="P58" i="11"/>
  <c r="O58" i="11"/>
  <c r="P57" i="11"/>
  <c r="O57" i="11"/>
  <c r="P56" i="11"/>
  <c r="O56" i="11"/>
  <c r="P55" i="11"/>
  <c r="O55" i="11"/>
  <c r="P54" i="11"/>
  <c r="O54" i="11"/>
  <c r="P53" i="11"/>
  <c r="O53" i="11"/>
  <c r="P52" i="11"/>
  <c r="O52" i="11"/>
  <c r="P51" i="11"/>
  <c r="O51" i="11"/>
  <c r="P50" i="11"/>
  <c r="O50" i="11"/>
  <c r="P49" i="11"/>
  <c r="O49" i="11"/>
  <c r="P48" i="11"/>
  <c r="O48" i="11"/>
  <c r="P47" i="11"/>
  <c r="O47" i="11"/>
  <c r="P46" i="11"/>
  <c r="O46" i="11"/>
  <c r="P45" i="11"/>
  <c r="O45" i="11"/>
  <c r="P44" i="11"/>
  <c r="O44" i="11"/>
  <c r="P43" i="11"/>
  <c r="O43" i="11"/>
  <c r="P42" i="11"/>
  <c r="O42" i="11"/>
  <c r="P41" i="11"/>
  <c r="O41" i="11"/>
  <c r="P40" i="11"/>
  <c r="O40" i="11"/>
  <c r="P39" i="11"/>
  <c r="O39" i="11"/>
  <c r="P38" i="11"/>
  <c r="O38" i="11"/>
  <c r="P37" i="11"/>
  <c r="O37" i="11"/>
  <c r="P36" i="11"/>
  <c r="O36" i="11"/>
  <c r="P35" i="11"/>
  <c r="O35" i="11"/>
  <c r="P34" i="11"/>
  <c r="O34" i="11"/>
  <c r="P33" i="11"/>
  <c r="O33" i="11"/>
  <c r="P32" i="11"/>
  <c r="O32" i="11"/>
  <c r="P31" i="11"/>
  <c r="O31" i="11"/>
  <c r="P30" i="11"/>
  <c r="O30" i="11"/>
  <c r="P29" i="11"/>
  <c r="O29" i="11"/>
  <c r="P28" i="11"/>
  <c r="O28" i="11"/>
  <c r="P27" i="11"/>
  <c r="O27" i="11"/>
  <c r="P26" i="11"/>
  <c r="O26" i="11"/>
  <c r="P25" i="11"/>
  <c r="O25" i="11"/>
  <c r="P24" i="11"/>
  <c r="O24" i="11"/>
  <c r="P23" i="11"/>
  <c r="O23" i="11"/>
  <c r="P22" i="11"/>
  <c r="O22" i="11"/>
  <c r="P21" i="11"/>
  <c r="O21" i="11"/>
  <c r="P20" i="11"/>
  <c r="O20" i="11"/>
  <c r="P19" i="11"/>
  <c r="O19" i="11"/>
  <c r="P18" i="11"/>
  <c r="O18" i="11"/>
  <c r="P17" i="11"/>
  <c r="O17" i="11"/>
  <c r="P16" i="11"/>
  <c r="O16" i="11"/>
  <c r="P15" i="11"/>
  <c r="O15" i="11"/>
  <c r="P14" i="11"/>
  <c r="O14" i="11"/>
  <c r="P13" i="11"/>
  <c r="O13" i="11"/>
  <c r="P12" i="11"/>
  <c r="O12" i="11"/>
  <c r="P11" i="11"/>
  <c r="O11" i="11"/>
  <c r="P10" i="11"/>
  <c r="O10" i="11"/>
  <c r="P9" i="11"/>
  <c r="O9" i="11"/>
  <c r="P8" i="11"/>
  <c r="O8" i="11"/>
  <c r="P7" i="11"/>
  <c r="O7" i="11"/>
  <c r="P6" i="11"/>
  <c r="O6" i="11"/>
  <c r="P5" i="11"/>
  <c r="O5" i="11"/>
  <c r="P4" i="11"/>
  <c r="O4" i="11"/>
  <c r="P3" i="11"/>
  <c r="O3" i="11"/>
  <c r="P2" i="11"/>
  <c r="O2" i="11"/>
  <c r="P3" i="9"/>
  <c r="P4" i="9"/>
  <c r="P5" i="9"/>
  <c r="P6" i="9"/>
  <c r="P7" i="9"/>
  <c r="P8" i="9"/>
  <c r="P9" i="9"/>
  <c r="P10" i="9"/>
  <c r="P11" i="9"/>
  <c r="P12" i="9"/>
  <c r="P13" i="9"/>
  <c r="P14" i="9"/>
  <c r="P15" i="9"/>
  <c r="P16" i="9"/>
  <c r="P17" i="9"/>
  <c r="P18" i="9"/>
  <c r="P19" i="9"/>
  <c r="P20" i="9"/>
  <c r="P21" i="9"/>
  <c r="P22" i="9"/>
  <c r="P23" i="9"/>
  <c r="P24" i="9"/>
  <c r="P25" i="9"/>
  <c r="P26" i="9"/>
  <c r="P27" i="9"/>
  <c r="P28" i="9"/>
  <c r="P29" i="9"/>
  <c r="P30" i="9"/>
  <c r="P31" i="9"/>
  <c r="P32" i="9"/>
  <c r="P33" i="9"/>
  <c r="P34" i="9"/>
  <c r="P35" i="9"/>
  <c r="P36" i="9"/>
  <c r="P37" i="9"/>
  <c r="P38" i="9"/>
  <c r="P39" i="9"/>
  <c r="P40" i="9"/>
  <c r="P41" i="9"/>
  <c r="P42" i="9"/>
  <c r="P43" i="9"/>
  <c r="P44" i="9"/>
  <c r="P45" i="9"/>
  <c r="P46" i="9"/>
  <c r="P47" i="9"/>
  <c r="P48" i="9"/>
  <c r="P49" i="9"/>
  <c r="P50" i="9"/>
  <c r="P51" i="9"/>
  <c r="P52" i="9"/>
  <c r="P53" i="9"/>
  <c r="P54" i="9"/>
  <c r="P55" i="9"/>
  <c r="P56" i="9"/>
  <c r="P57" i="9"/>
  <c r="P58" i="9"/>
  <c r="P59" i="9"/>
  <c r="P60" i="9"/>
  <c r="P61" i="9"/>
  <c r="P62" i="9"/>
  <c r="P63" i="9"/>
  <c r="P64" i="9"/>
  <c r="P65" i="9"/>
  <c r="P66" i="9"/>
  <c r="P67" i="9"/>
  <c r="P68" i="9"/>
  <c r="P69" i="9"/>
  <c r="P70" i="9"/>
  <c r="P71" i="9"/>
  <c r="P72" i="9"/>
  <c r="P73" i="9"/>
  <c r="P74" i="9"/>
  <c r="P75" i="9"/>
  <c r="P76" i="9"/>
  <c r="P77" i="9"/>
  <c r="P78" i="9"/>
  <c r="P79" i="9"/>
  <c r="P80" i="9"/>
  <c r="P81" i="9"/>
  <c r="P82" i="9"/>
  <c r="P83" i="9"/>
  <c r="P84" i="9"/>
  <c r="P85" i="9"/>
  <c r="P86" i="9"/>
  <c r="P87" i="9"/>
  <c r="P88" i="9"/>
  <c r="P89" i="9"/>
  <c r="P90" i="9"/>
  <c r="P91" i="9"/>
  <c r="P92" i="9"/>
  <c r="P93" i="9"/>
  <c r="P94" i="9"/>
  <c r="P95" i="9"/>
  <c r="P96" i="9"/>
  <c r="P97" i="9"/>
  <c r="P98" i="9"/>
  <c r="P99" i="9"/>
  <c r="P100" i="9"/>
  <c r="P101" i="9"/>
  <c r="P102" i="9"/>
  <c r="P103" i="9"/>
  <c r="P104" i="9"/>
  <c r="P105" i="9"/>
  <c r="P106" i="9"/>
  <c r="P107" i="9"/>
  <c r="P108" i="9"/>
  <c r="P109" i="9"/>
  <c r="P110" i="9"/>
  <c r="P111" i="9"/>
  <c r="P112" i="9"/>
  <c r="P113" i="9"/>
  <c r="P114" i="9"/>
  <c r="P115" i="9"/>
  <c r="P116" i="9"/>
  <c r="P117" i="9"/>
  <c r="P118" i="9"/>
  <c r="P119" i="9"/>
  <c r="P120" i="9"/>
  <c r="P121" i="9"/>
  <c r="P122" i="9"/>
  <c r="P123" i="9"/>
  <c r="P124" i="9"/>
  <c r="P125" i="9"/>
  <c r="P126" i="9"/>
  <c r="P127" i="9"/>
  <c r="P128" i="9"/>
  <c r="P129" i="9"/>
  <c r="P130" i="9"/>
  <c r="P131" i="9"/>
  <c r="P132" i="9"/>
  <c r="P133" i="9"/>
  <c r="P134" i="9"/>
  <c r="P135" i="9"/>
  <c r="P136" i="9"/>
  <c r="P137" i="9"/>
  <c r="P138" i="9"/>
  <c r="P139" i="9"/>
  <c r="P140" i="9"/>
  <c r="P141" i="9"/>
  <c r="P142" i="9"/>
  <c r="P143" i="9"/>
  <c r="P144" i="9"/>
  <c r="P145" i="9"/>
  <c r="P146" i="9"/>
  <c r="P147" i="9"/>
  <c r="P148" i="9"/>
  <c r="P149" i="9"/>
  <c r="P150" i="9"/>
  <c r="P151" i="9"/>
  <c r="P152" i="9"/>
  <c r="P153" i="9"/>
  <c r="P154" i="9"/>
  <c r="P155" i="9"/>
  <c r="P156" i="9"/>
  <c r="P157" i="9"/>
  <c r="P158" i="9"/>
  <c r="P159" i="9"/>
  <c r="P160" i="9"/>
  <c r="P161" i="9"/>
  <c r="P162" i="9"/>
  <c r="P163" i="9"/>
  <c r="P164" i="9"/>
  <c r="P165" i="9"/>
  <c r="P166" i="9"/>
  <c r="P167" i="9"/>
  <c r="P168" i="9"/>
  <c r="P169" i="9"/>
  <c r="P170" i="9"/>
  <c r="P171" i="9"/>
  <c r="P172" i="9"/>
  <c r="P173" i="9"/>
  <c r="P174" i="9"/>
  <c r="P175" i="9"/>
  <c r="P176" i="9"/>
  <c r="P177" i="9"/>
  <c r="P178" i="9"/>
  <c r="P179" i="9"/>
  <c r="P180" i="9"/>
  <c r="P181" i="9"/>
  <c r="P182" i="9"/>
  <c r="P183" i="9"/>
  <c r="P2" i="9"/>
  <c r="O3" i="9"/>
  <c r="O4" i="9"/>
  <c r="O5" i="9"/>
  <c r="O6" i="9"/>
  <c r="O7" i="9"/>
  <c r="O8" i="9"/>
  <c r="O9" i="9"/>
  <c r="O10" i="9"/>
  <c r="O11" i="9"/>
  <c r="O12" i="9"/>
  <c r="O13" i="9"/>
  <c r="O14" i="9"/>
  <c r="O15" i="9"/>
  <c r="O16" i="9"/>
  <c r="O17" i="9"/>
  <c r="O18" i="9"/>
  <c r="O19" i="9"/>
  <c r="O20" i="9"/>
  <c r="O21" i="9"/>
  <c r="O22" i="9"/>
  <c r="O23" i="9"/>
  <c r="O24" i="9"/>
  <c r="O25" i="9"/>
  <c r="O26" i="9"/>
  <c r="O27" i="9"/>
  <c r="O28" i="9"/>
  <c r="O29" i="9"/>
  <c r="O30" i="9"/>
  <c r="O31" i="9"/>
  <c r="O32" i="9"/>
  <c r="O33" i="9"/>
  <c r="O34" i="9"/>
  <c r="O35" i="9"/>
  <c r="O36" i="9"/>
  <c r="O37" i="9"/>
  <c r="O38" i="9"/>
  <c r="O39" i="9"/>
  <c r="O40" i="9"/>
  <c r="O41" i="9"/>
  <c r="O42" i="9"/>
  <c r="O43" i="9"/>
  <c r="O44" i="9"/>
  <c r="O45" i="9"/>
  <c r="O46" i="9"/>
  <c r="O47" i="9"/>
  <c r="O48" i="9"/>
  <c r="O49" i="9"/>
  <c r="O50" i="9"/>
  <c r="O51" i="9"/>
  <c r="O52" i="9"/>
  <c r="O53" i="9"/>
  <c r="O54" i="9"/>
  <c r="O55" i="9"/>
  <c r="O56" i="9"/>
  <c r="O57" i="9"/>
  <c r="O58" i="9"/>
  <c r="O59" i="9"/>
  <c r="O60" i="9"/>
  <c r="O61" i="9"/>
  <c r="O62" i="9"/>
  <c r="O63" i="9"/>
  <c r="O64" i="9"/>
  <c r="O65" i="9"/>
  <c r="O66" i="9"/>
  <c r="O67" i="9"/>
  <c r="O68" i="9"/>
  <c r="O69" i="9"/>
  <c r="O70" i="9"/>
  <c r="O71" i="9"/>
  <c r="O72" i="9"/>
  <c r="O73" i="9"/>
  <c r="O74" i="9"/>
  <c r="O75" i="9"/>
  <c r="O76" i="9"/>
  <c r="O77" i="9"/>
  <c r="O78" i="9"/>
  <c r="O79" i="9"/>
  <c r="O80" i="9"/>
  <c r="O81" i="9"/>
  <c r="O82" i="9"/>
  <c r="O83" i="9"/>
  <c r="O84" i="9"/>
  <c r="O85" i="9"/>
  <c r="O86" i="9"/>
  <c r="O87" i="9"/>
  <c r="O88" i="9"/>
  <c r="O89" i="9"/>
  <c r="O90" i="9"/>
  <c r="O91" i="9"/>
  <c r="O92" i="9"/>
  <c r="O93" i="9"/>
  <c r="O94" i="9"/>
  <c r="O95" i="9"/>
  <c r="O96" i="9"/>
  <c r="O97" i="9"/>
  <c r="O98" i="9"/>
  <c r="O99" i="9"/>
  <c r="O100" i="9"/>
  <c r="O101" i="9"/>
  <c r="O102" i="9"/>
  <c r="O103" i="9"/>
  <c r="O104" i="9"/>
  <c r="O105" i="9"/>
  <c r="O106" i="9"/>
  <c r="O107" i="9"/>
  <c r="O108" i="9"/>
  <c r="O109" i="9"/>
  <c r="O110" i="9"/>
  <c r="O111" i="9"/>
  <c r="O112" i="9"/>
  <c r="O113" i="9"/>
  <c r="O114" i="9"/>
  <c r="O115" i="9"/>
  <c r="O116" i="9"/>
  <c r="O117" i="9"/>
  <c r="O118" i="9"/>
  <c r="O119" i="9"/>
  <c r="O120" i="9"/>
  <c r="O121" i="9"/>
  <c r="O122" i="9"/>
  <c r="O123" i="9"/>
  <c r="O124" i="9"/>
  <c r="O125" i="9"/>
  <c r="O126" i="9"/>
  <c r="O127" i="9"/>
  <c r="O128" i="9"/>
  <c r="O129" i="9"/>
  <c r="O130" i="9"/>
  <c r="O131" i="9"/>
  <c r="O132" i="9"/>
  <c r="O133" i="9"/>
  <c r="O134" i="9"/>
  <c r="O135" i="9"/>
  <c r="O136" i="9"/>
  <c r="O137" i="9"/>
  <c r="O138" i="9"/>
  <c r="O139" i="9"/>
  <c r="O140" i="9"/>
  <c r="O141" i="9"/>
  <c r="O142" i="9"/>
  <c r="O143" i="9"/>
  <c r="O144" i="9"/>
  <c r="O145" i="9"/>
  <c r="O146" i="9"/>
  <c r="O147" i="9"/>
  <c r="O148" i="9"/>
  <c r="O149" i="9"/>
  <c r="O150" i="9"/>
  <c r="O151" i="9"/>
  <c r="O152" i="9"/>
  <c r="O153" i="9"/>
  <c r="O154" i="9"/>
  <c r="O155" i="9"/>
  <c r="O156" i="9"/>
  <c r="O157" i="9"/>
  <c r="O158" i="9"/>
  <c r="O159" i="9"/>
  <c r="O160" i="9"/>
  <c r="O161" i="9"/>
  <c r="O162" i="9"/>
  <c r="O163" i="9"/>
  <c r="O164" i="9"/>
  <c r="O165" i="9"/>
  <c r="O166" i="9"/>
  <c r="O167" i="9"/>
  <c r="O168" i="9"/>
  <c r="O169" i="9"/>
  <c r="O170" i="9"/>
  <c r="O171" i="9"/>
  <c r="O172" i="9"/>
  <c r="O173" i="9"/>
  <c r="O174" i="9"/>
  <c r="O175" i="9"/>
  <c r="O176" i="9"/>
  <c r="O177" i="9"/>
  <c r="O178" i="9"/>
  <c r="O179" i="9"/>
  <c r="O180" i="9"/>
  <c r="O181" i="9"/>
  <c r="O182" i="9"/>
  <c r="O183" i="9"/>
  <c r="O2" i="9"/>
  <c r="R131" i="7" l="1"/>
</calcChain>
</file>

<file path=xl/comments1.xml><?xml version="1.0" encoding="utf-8"?>
<comments xmlns="http://schemas.openxmlformats.org/spreadsheetml/2006/main">
  <authors>
    <author>User</author>
  </authors>
  <commentList>
    <comment ref="A1" authorId="0" shapeId="0">
      <text>
        <r>
          <rPr>
            <b/>
            <sz val="9"/>
            <color indexed="81"/>
            <rFont val="Tahoma"/>
            <family val="2"/>
          </rPr>
          <t>User:</t>
        </r>
        <r>
          <rPr>
            <sz val="9"/>
            <color indexed="81"/>
            <rFont val="Tahoma"/>
            <family val="2"/>
          </rPr>
          <t xml:space="preserve">
These are countries I could get their details for this report
</t>
        </r>
      </text>
    </comment>
  </commentList>
</comments>
</file>

<file path=xl/comments2.xml><?xml version="1.0" encoding="utf-8"?>
<comments xmlns="http://schemas.openxmlformats.org/spreadsheetml/2006/main">
  <authors>
    <author>User</author>
  </authors>
  <commentList>
    <comment ref="A1" authorId="0" shapeId="0">
      <text>
        <r>
          <rPr>
            <b/>
            <sz val="9"/>
            <color indexed="81"/>
            <rFont val="Tahoma"/>
            <family val="2"/>
          </rPr>
          <t>User:</t>
        </r>
        <r>
          <rPr>
            <sz val="9"/>
            <color indexed="81"/>
            <rFont val="Tahoma"/>
            <family val="2"/>
          </rPr>
          <t xml:space="preserve">
These are countries I could get their details for this report
</t>
        </r>
      </text>
    </comment>
    <comment ref="O1" authorId="0" shapeId="0">
      <text>
        <r>
          <rPr>
            <b/>
            <sz val="9"/>
            <color indexed="81"/>
            <rFont val="Tahoma"/>
            <family val="2"/>
          </rPr>
          <t>User:</t>
        </r>
        <r>
          <rPr>
            <sz val="9"/>
            <color indexed="81"/>
            <rFont val="Tahoma"/>
            <family val="2"/>
          </rPr>
          <t xml:space="preserve">
Average Salary Minus 
Estimated Total monthly</t>
        </r>
      </text>
    </comment>
    <comment ref="P1" authorId="0" shapeId="0">
      <text>
        <r>
          <rPr>
            <b/>
            <sz val="9"/>
            <color indexed="81"/>
            <rFont val="Tahoma"/>
            <family val="2"/>
          </rPr>
          <t>User:</t>
        </r>
        <r>
          <rPr>
            <sz val="9"/>
            <color indexed="81"/>
            <rFont val="Tahoma"/>
            <family val="2"/>
          </rPr>
          <t xml:space="preserve">
GDP diveded by Population
</t>
        </r>
      </text>
    </comment>
  </commentList>
</comments>
</file>

<file path=xl/comments3.xml><?xml version="1.0" encoding="utf-8"?>
<comments xmlns="http://schemas.openxmlformats.org/spreadsheetml/2006/main">
  <authors>
    <author>User</author>
  </authors>
  <commentList>
    <comment ref="A1" authorId="0" shapeId="0">
      <text>
        <r>
          <rPr>
            <b/>
            <sz val="9"/>
            <color indexed="81"/>
            <rFont val="Tahoma"/>
            <family val="2"/>
          </rPr>
          <t>User:</t>
        </r>
        <r>
          <rPr>
            <sz val="9"/>
            <color indexed="81"/>
            <rFont val="Tahoma"/>
            <family val="2"/>
          </rPr>
          <t xml:space="preserve">
These are countries I could get their details for this report
</t>
        </r>
      </text>
    </comment>
    <comment ref="O1" authorId="0" shapeId="0">
      <text>
        <r>
          <rPr>
            <b/>
            <sz val="9"/>
            <color indexed="81"/>
            <rFont val="Tahoma"/>
            <family val="2"/>
          </rPr>
          <t>User:</t>
        </r>
        <r>
          <rPr>
            <sz val="9"/>
            <color indexed="81"/>
            <rFont val="Tahoma"/>
            <family val="2"/>
          </rPr>
          <t xml:space="preserve">
Average Salary Minus 
Estimated Total monthly</t>
        </r>
      </text>
    </comment>
    <comment ref="P1" authorId="0" shapeId="0">
      <text>
        <r>
          <rPr>
            <b/>
            <sz val="9"/>
            <color indexed="81"/>
            <rFont val="Tahoma"/>
            <family val="2"/>
          </rPr>
          <t>User:</t>
        </r>
        <r>
          <rPr>
            <sz val="9"/>
            <color indexed="81"/>
            <rFont val="Tahoma"/>
            <family val="2"/>
          </rPr>
          <t xml:space="preserve">
GDP diveded by Population
</t>
        </r>
      </text>
    </comment>
  </commentList>
</comments>
</file>

<file path=xl/comments4.xml><?xml version="1.0" encoding="utf-8"?>
<comments xmlns="http://schemas.openxmlformats.org/spreadsheetml/2006/main">
  <authors>
    <author>User</author>
  </authors>
  <commentList>
    <comment ref="A3" authorId="0" shapeId="0">
      <text>
        <r>
          <rPr>
            <b/>
            <sz val="9"/>
            <color indexed="81"/>
            <rFont val="Tahoma"/>
            <family val="2"/>
          </rPr>
          <t>User:</t>
        </r>
        <r>
          <rPr>
            <sz val="9"/>
            <color indexed="81"/>
            <rFont val="Tahoma"/>
            <family val="2"/>
          </rPr>
          <t xml:space="preserve">
Enter country you wil get continent and Sub region as result</t>
        </r>
      </text>
    </comment>
    <comment ref="G3" authorId="0" shapeId="0">
      <text>
        <r>
          <rPr>
            <b/>
            <sz val="9"/>
            <color indexed="81"/>
            <rFont val="Tahoma"/>
            <family val="2"/>
          </rPr>
          <t>User:</t>
        </r>
        <r>
          <rPr>
            <sz val="9"/>
            <color indexed="81"/>
            <rFont val="Tahoma"/>
            <family val="2"/>
          </rPr>
          <t xml:space="preserve">
Enter country and you will get population as result</t>
        </r>
      </text>
    </comment>
    <comment ref="A8" authorId="0" shapeId="0">
      <text>
        <r>
          <rPr>
            <b/>
            <sz val="9"/>
            <color indexed="81"/>
            <rFont val="Tahoma"/>
            <family val="2"/>
          </rPr>
          <t>User:</t>
        </r>
        <r>
          <rPr>
            <sz val="9"/>
            <color indexed="81"/>
            <rFont val="Tahoma"/>
            <family val="2"/>
          </rPr>
          <t xml:space="preserve">
Here I don't have to type the country,there's a list already 
</t>
        </r>
      </text>
    </comment>
    <comment ref="O14" authorId="0" shapeId="0">
      <text>
        <r>
          <rPr>
            <b/>
            <sz val="9"/>
            <color indexed="81"/>
            <rFont val="Tahoma"/>
            <family val="2"/>
          </rPr>
          <t>User:</t>
        </r>
        <r>
          <rPr>
            <sz val="9"/>
            <color indexed="81"/>
            <rFont val="Tahoma"/>
            <family val="2"/>
          </rPr>
          <t xml:space="preserve">
Average Salary Minus 
Estimated Total monthly</t>
        </r>
      </text>
    </comment>
    <comment ref="P14" authorId="0" shapeId="0">
      <text>
        <r>
          <rPr>
            <b/>
            <sz val="9"/>
            <color indexed="81"/>
            <rFont val="Tahoma"/>
            <family val="2"/>
          </rPr>
          <t>User:</t>
        </r>
        <r>
          <rPr>
            <sz val="9"/>
            <color indexed="81"/>
            <rFont val="Tahoma"/>
            <family val="2"/>
          </rPr>
          <t xml:space="preserve">
GDP diveded by Population
</t>
        </r>
      </text>
    </comment>
  </commentList>
</comments>
</file>

<file path=xl/comments5.xml><?xml version="1.0" encoding="utf-8"?>
<comments xmlns="http://schemas.openxmlformats.org/spreadsheetml/2006/main">
  <authors>
    <author>User</author>
  </authors>
  <commentList>
    <comment ref="G1" authorId="0" shapeId="0">
      <text>
        <r>
          <rPr>
            <b/>
            <sz val="9"/>
            <color indexed="81"/>
            <rFont val="Tahoma"/>
            <charset val="1"/>
          </rPr>
          <t>User:</t>
        </r>
        <r>
          <rPr>
            <sz val="9"/>
            <color indexed="81"/>
            <rFont val="Tahoma"/>
            <charset val="1"/>
          </rPr>
          <t xml:space="preserve">
Top 10 Monthly Wages</t>
        </r>
      </text>
    </comment>
    <comment ref="G183" authorId="0" shapeId="0">
      <text>
        <r>
          <rPr>
            <b/>
            <sz val="9"/>
            <color indexed="81"/>
            <rFont val="Tahoma"/>
            <charset val="1"/>
          </rPr>
          <t>User:</t>
        </r>
        <r>
          <rPr>
            <sz val="9"/>
            <color indexed="81"/>
            <rFont val="Tahoma"/>
            <charset val="1"/>
          </rPr>
          <t xml:space="preserve">
Top 10 least wages</t>
        </r>
      </text>
    </comment>
  </commentList>
</comments>
</file>

<file path=xl/comments6.xml><?xml version="1.0" encoding="utf-8"?>
<comments xmlns="http://schemas.openxmlformats.org/spreadsheetml/2006/main">
  <authors>
    <author>User</author>
  </authors>
  <commentList>
    <comment ref="D9" authorId="0" shapeId="0">
      <text>
        <r>
          <rPr>
            <b/>
            <sz val="9"/>
            <color indexed="81"/>
            <rFont val="Tahoma"/>
            <charset val="1"/>
          </rPr>
          <t>User:</t>
        </r>
        <r>
          <rPr>
            <sz val="9"/>
            <color indexed="81"/>
            <rFont val="Tahoma"/>
            <charset val="1"/>
          </rPr>
          <t xml:space="preserve">
Average Estimated Monthly Cost
</t>
        </r>
      </text>
    </comment>
  </commentList>
</comments>
</file>

<file path=xl/connections.xml><?xml version="1.0" encoding="utf-8"?>
<connections xmlns="http://schemas.openxmlformats.org/spreadsheetml/2006/main">
  <connection id="1" name="a.csv31" type="6" refreshedVersion="6" background="1" saveData="1">
    <textPr codePage="850" sourceFile="C:\Users\User\Desktop\a.csv.txt" tab="0">
      <textFields>
        <textField/>
      </textFields>
    </textPr>
  </connection>
  <connection id="2" name="a.csv311" type="6" refreshedVersion="6" background="1" saveData="1">
    <textPr codePage="850" sourceFile="C:\Users\User\Desktop\a.csv.txt" tab="0">
      <textFields>
        <textField/>
      </textFields>
    </textPr>
  </connection>
  <connection id="3" name="a.csv3111" type="6" refreshedVersion="6" background="1" saveData="1">
    <textPr codePage="850" sourceFile="C:\Users\User\Desktop\a.csv.txt" tab="0">
      <textFields>
        <textField/>
      </textFields>
    </textPr>
  </connection>
  <connection id="4" keepAlive="1" name="Query - Table(Easy sorting)" description="Connection to the 'Table(Easy sorting)' query in the workbook." type="5" refreshedVersion="6" background="1" saveData="1">
    <dbPr connection="Provider=Microsoft.Mashup.OleDb.1;Data Source=$Workbook$;Location=Table(Easy sorting);Extended Properties=&quot;&quot;" command="SELECT * FROM [Table(Easy sorting)]"/>
  </connection>
  <connection id="5" keepAlive="1" name="Query - Table(Easy sorting) (2)" description="Connection to the 'Table(Easy sorting) (2)' query in the workbook." type="5" refreshedVersion="6" background="1" saveData="1">
    <dbPr connection="Provider=Microsoft.Mashup.OleDb.1;Data Source=$Workbook$;Location=&quot;Table(Easy sorting) (2)&quot;" command="SELECT * FROM [Table(Easy sorting) (2)]"/>
  </connection>
</connections>
</file>

<file path=xl/sharedStrings.xml><?xml version="1.0" encoding="utf-8"?>
<sst xmlns="http://schemas.openxmlformats.org/spreadsheetml/2006/main" count="8929" uniqueCount="270">
  <si>
    <t>Country</t>
  </si>
  <si>
    <t>Continent</t>
  </si>
  <si>
    <t>Subregion</t>
  </si>
  <si>
    <t>Afghanistan</t>
  </si>
  <si>
    <t>Asia</t>
  </si>
  <si>
    <t>South Asia</t>
  </si>
  <si>
    <t>Albania</t>
  </si>
  <si>
    <t>Europe</t>
  </si>
  <si>
    <t>Southern Europe</t>
  </si>
  <si>
    <t>Algeria</t>
  </si>
  <si>
    <t>Africa</t>
  </si>
  <si>
    <t>North Africa</t>
  </si>
  <si>
    <t>American Samoa</t>
  </si>
  <si>
    <t>Oceania</t>
  </si>
  <si>
    <t>Polynesia</t>
  </si>
  <si>
    <t>Andorra</t>
  </si>
  <si>
    <t>Angola</t>
  </si>
  <si>
    <t>Central Africa</t>
  </si>
  <si>
    <t>Anguilla</t>
  </si>
  <si>
    <t>North America</t>
  </si>
  <si>
    <t>Caribbean</t>
  </si>
  <si>
    <t>Antigua &amp; Barbuda</t>
  </si>
  <si>
    <t>Argentina</t>
  </si>
  <si>
    <t>South America</t>
  </si>
  <si>
    <t>Armenia</t>
  </si>
  <si>
    <t>Western Asia</t>
  </si>
  <si>
    <t>Aruba</t>
  </si>
  <si>
    <t>Australia</t>
  </si>
  <si>
    <t>Australia &amp; New Zealand</t>
  </si>
  <si>
    <t>Austria</t>
  </si>
  <si>
    <t>Western Europe</t>
  </si>
  <si>
    <t>Azerbaijan</t>
  </si>
  <si>
    <t>Bahamas</t>
  </si>
  <si>
    <t>Bahrain</t>
  </si>
  <si>
    <t>Bangladesh</t>
  </si>
  <si>
    <t>Barbados</t>
  </si>
  <si>
    <t>Belarus</t>
  </si>
  <si>
    <t>Eastern Europe</t>
  </si>
  <si>
    <t>Belgium</t>
  </si>
  <si>
    <t>Belize</t>
  </si>
  <si>
    <t>Central America</t>
  </si>
  <si>
    <t>Benin</t>
  </si>
  <si>
    <t>West Africa</t>
  </si>
  <si>
    <t>Bermuda</t>
  </si>
  <si>
    <t>Bhutan</t>
  </si>
  <si>
    <t>Bolivia</t>
  </si>
  <si>
    <t>Bosnia &amp; Herzegovina</t>
  </si>
  <si>
    <t>Botswana</t>
  </si>
  <si>
    <t>Southern Africa</t>
  </si>
  <si>
    <t>Brazil</t>
  </si>
  <si>
    <t>Brunei</t>
  </si>
  <si>
    <t>Southeast Asia</t>
  </si>
  <si>
    <t>Bulgaria</t>
  </si>
  <si>
    <t>Burkina Faso</t>
  </si>
  <si>
    <t>Burma (Myanmar)</t>
  </si>
  <si>
    <t>Burundi</t>
  </si>
  <si>
    <t>East Africa</t>
  </si>
  <si>
    <t>Cambodia</t>
  </si>
  <si>
    <t>Cameroon</t>
  </si>
  <si>
    <t>Canada</t>
  </si>
  <si>
    <t>Northern America</t>
  </si>
  <si>
    <t>Cape Verde</t>
  </si>
  <si>
    <t>Cayman Islands</t>
  </si>
  <si>
    <t>Central African Republic</t>
  </si>
  <si>
    <t>Chad</t>
  </si>
  <si>
    <t>Chile</t>
  </si>
  <si>
    <t>China</t>
  </si>
  <si>
    <t>East Asia</t>
  </si>
  <si>
    <t>Colombia</t>
  </si>
  <si>
    <t>Comoros</t>
  </si>
  <si>
    <t>Congo (Democratic Republic)</t>
  </si>
  <si>
    <t>Congo (Republic)</t>
  </si>
  <si>
    <t>Cook Islands</t>
  </si>
  <si>
    <t>Costa Rica</t>
  </si>
  <si>
    <t>Cote d'Ivoire</t>
  </si>
  <si>
    <t>Croatia</t>
  </si>
  <si>
    <t>Cuba</t>
  </si>
  <si>
    <t>Cyprus</t>
  </si>
  <si>
    <t>Czech Republic</t>
  </si>
  <si>
    <t>Denmark</t>
  </si>
  <si>
    <t>Northern Europe</t>
  </si>
  <si>
    <t>Djibouti</t>
  </si>
  <si>
    <t>Dominica</t>
  </si>
  <si>
    <t>Dominican Republic</t>
  </si>
  <si>
    <t>East Timor</t>
  </si>
  <si>
    <t>Ecuador</t>
  </si>
  <si>
    <t>Egypt</t>
  </si>
  <si>
    <t>El Salvador</t>
  </si>
  <si>
    <t>Equatorial Guinea</t>
  </si>
  <si>
    <t>Eritrea</t>
  </si>
  <si>
    <t>Estonia</t>
  </si>
  <si>
    <t>Ethiopia</t>
  </si>
  <si>
    <t>Fiji</t>
  </si>
  <si>
    <t>Melanesia</t>
  </si>
  <si>
    <t>Finland</t>
  </si>
  <si>
    <t>France</t>
  </si>
  <si>
    <t>Gabon</t>
  </si>
  <si>
    <t>Gambia</t>
  </si>
  <si>
    <t>Georgia</t>
  </si>
  <si>
    <t>Germany</t>
  </si>
  <si>
    <t>Ghana</t>
  </si>
  <si>
    <t>Greece</t>
  </si>
  <si>
    <t>Grenada</t>
  </si>
  <si>
    <t>Micronesia</t>
  </si>
  <si>
    <t>Guatemala</t>
  </si>
  <si>
    <t>Guinea</t>
  </si>
  <si>
    <t>Guinea-Bissau</t>
  </si>
  <si>
    <t>Guyana</t>
  </si>
  <si>
    <t>Haiti</t>
  </si>
  <si>
    <t>Honduras</t>
  </si>
  <si>
    <t>Hong Kong</t>
  </si>
  <si>
    <t>Hungary</t>
  </si>
  <si>
    <t>Iceland</t>
  </si>
  <si>
    <t>India</t>
  </si>
  <si>
    <t>Indonesia</t>
  </si>
  <si>
    <t>Iran</t>
  </si>
  <si>
    <t>Iraq</t>
  </si>
  <si>
    <t>Ireland</t>
  </si>
  <si>
    <t>Israel</t>
  </si>
  <si>
    <t>Italy</t>
  </si>
  <si>
    <t>Jamaica</t>
  </si>
  <si>
    <t>Japan</t>
  </si>
  <si>
    <t>Jordan</t>
  </si>
  <si>
    <t>Kazakhstan</t>
  </si>
  <si>
    <t>Central Asia</t>
  </si>
  <si>
    <t>Kenya</t>
  </si>
  <si>
    <t>Kiribati</t>
  </si>
  <si>
    <t>Korea (North)</t>
  </si>
  <si>
    <t>Korea (South)</t>
  </si>
  <si>
    <t>Kuwait</t>
  </si>
  <si>
    <t>Kyrgyzstan</t>
  </si>
  <si>
    <t>Laos</t>
  </si>
  <si>
    <t>Latvia</t>
  </si>
  <si>
    <t>Lebanon</t>
  </si>
  <si>
    <t>Lesotho</t>
  </si>
  <si>
    <t>Liberia</t>
  </si>
  <si>
    <t>Libya</t>
  </si>
  <si>
    <t>Liechtenstein</t>
  </si>
  <si>
    <t>Lithuania</t>
  </si>
  <si>
    <t>Luxembourg</t>
  </si>
  <si>
    <t>Madagascar</t>
  </si>
  <si>
    <t>Malawi</t>
  </si>
  <si>
    <t>Malaysia</t>
  </si>
  <si>
    <t>Maldives</t>
  </si>
  <si>
    <t>Mali</t>
  </si>
  <si>
    <t>Malta</t>
  </si>
  <si>
    <t>Mauritius</t>
  </si>
  <si>
    <t>Mexico</t>
  </si>
  <si>
    <t>Moldova</t>
  </si>
  <si>
    <t>Monaco</t>
  </si>
  <si>
    <t>Mongolia</t>
  </si>
  <si>
    <t>Morocco</t>
  </si>
  <si>
    <t>Mozambique</t>
  </si>
  <si>
    <t>Namibia</t>
  </si>
  <si>
    <t>Nepal</t>
  </si>
  <si>
    <t>Netherlands</t>
  </si>
  <si>
    <t>New Zealand</t>
  </si>
  <si>
    <t>Nicaragua</t>
  </si>
  <si>
    <t>Niger</t>
  </si>
  <si>
    <t>Nigeria</t>
  </si>
  <si>
    <t>Norway</t>
  </si>
  <si>
    <t>Oman</t>
  </si>
  <si>
    <t>Pakistan</t>
  </si>
  <si>
    <t>Panama</t>
  </si>
  <si>
    <t>Papua New Guinea</t>
  </si>
  <si>
    <t>Paraguay</t>
  </si>
  <si>
    <t>Peru</t>
  </si>
  <si>
    <t>Philippines</t>
  </si>
  <si>
    <t>Poland</t>
  </si>
  <si>
    <t>Portugal</t>
  </si>
  <si>
    <t>Qatar</t>
  </si>
  <si>
    <t>Romania</t>
  </si>
  <si>
    <t>Russia</t>
  </si>
  <si>
    <t>Rwanda</t>
  </si>
  <si>
    <t>Saudi Arabia</t>
  </si>
  <si>
    <t>Senegal</t>
  </si>
  <si>
    <t>Serbia</t>
  </si>
  <si>
    <t>Sierra Leone</t>
  </si>
  <si>
    <t>Singapore</t>
  </si>
  <si>
    <t>Slovakia</t>
  </si>
  <si>
    <t>Slovenia</t>
  </si>
  <si>
    <t>Somalia</t>
  </si>
  <si>
    <t>South Africa</t>
  </si>
  <si>
    <t>Spain</t>
  </si>
  <si>
    <t>Sri Lanka</t>
  </si>
  <si>
    <t>Sudan</t>
  </si>
  <si>
    <t>Suriname</t>
  </si>
  <si>
    <t>Sweden</t>
  </si>
  <si>
    <t>Switzerland</t>
  </si>
  <si>
    <t>Syria</t>
  </si>
  <si>
    <t>Taiwan</t>
  </si>
  <si>
    <t>Tanzania</t>
  </si>
  <si>
    <t>Thailand</t>
  </si>
  <si>
    <t>Togo</t>
  </si>
  <si>
    <t>Trinidad &amp; Tobago</t>
  </si>
  <si>
    <t>Tunisia</t>
  </si>
  <si>
    <t>Turkey</t>
  </si>
  <si>
    <t>Turkmenistan</t>
  </si>
  <si>
    <t>Uganda</t>
  </si>
  <si>
    <t>Ukraine</t>
  </si>
  <si>
    <t>United Arab Emirates</t>
  </si>
  <si>
    <t>United Kingdom</t>
  </si>
  <si>
    <t>United States</t>
  </si>
  <si>
    <t>Uruguay</t>
  </si>
  <si>
    <t>Uzbekistan</t>
  </si>
  <si>
    <t>Venezuela</t>
  </si>
  <si>
    <t>Vietnam</t>
  </si>
  <si>
    <t>West Bank</t>
  </si>
  <si>
    <t>Western Sahara</t>
  </si>
  <si>
    <t>Yemen</t>
  </si>
  <si>
    <t>Zambia</t>
  </si>
  <si>
    <t>Zimbabwe</t>
  </si>
  <si>
    <t>Development Level</t>
  </si>
  <si>
    <t>Least Developed</t>
  </si>
  <si>
    <t>Lower Developing</t>
  </si>
  <si>
    <t>Very High Developed</t>
  </si>
  <si>
    <t>Upper Developing</t>
  </si>
  <si>
    <t>High Developed</t>
  </si>
  <si>
    <t>Unemployment Level</t>
  </si>
  <si>
    <t>Very High</t>
  </si>
  <si>
    <t>High</t>
  </si>
  <si>
    <t>Low</t>
  </si>
  <si>
    <t>Moderate</t>
  </si>
  <si>
    <t>Population</t>
  </si>
  <si>
    <t>Medium</t>
  </si>
  <si>
    <t>Monthly_wage(USD)</t>
  </si>
  <si>
    <t>Wage_Rating</t>
  </si>
  <si>
    <t>Very_Low_No_Enforced</t>
  </si>
  <si>
    <t>Very_High</t>
  </si>
  <si>
    <t>Average_Monthly_Salary(USD)</t>
  </si>
  <si>
    <t>Very_Low</t>
  </si>
  <si>
    <t>Average_Salary_Rating</t>
  </si>
  <si>
    <t>Cost_of_Living_Rating</t>
  </si>
  <si>
    <t>Estimated Total Monthly Cost(USD)</t>
  </si>
  <si>
    <t>Inflation Rate (%)2025_2026</t>
  </si>
  <si>
    <t>GDP_Nominal_USD_Billions_2025_IMF_Aligned</t>
  </si>
  <si>
    <t>Wage Rating</t>
  </si>
  <si>
    <t>Very Low No Enforced</t>
  </si>
  <si>
    <t>Average Salary Rating</t>
  </si>
  <si>
    <t>Very Low</t>
  </si>
  <si>
    <t>Cost of Living Rating</t>
  </si>
  <si>
    <t>GDP_Nominal(USD)</t>
  </si>
  <si>
    <t>Disposable Income</t>
  </si>
  <si>
    <t>GDP per Capita</t>
  </si>
  <si>
    <t xml:space="preserve">Very Low </t>
  </si>
  <si>
    <t>Cote D'Ivoire</t>
  </si>
  <si>
    <t>Countries</t>
  </si>
  <si>
    <t>Vlookup</t>
  </si>
  <si>
    <t>Sub-Region</t>
  </si>
  <si>
    <t>Vlookup With Data Validation(Drop Down</t>
  </si>
  <si>
    <t>Lookup With The Row Details</t>
  </si>
  <si>
    <t>Index Match</t>
  </si>
  <si>
    <t>Serial Number</t>
  </si>
  <si>
    <t>Value</t>
  </si>
  <si>
    <t>Match Function</t>
  </si>
  <si>
    <t>Position Number</t>
  </si>
  <si>
    <t>Sum of Population</t>
  </si>
  <si>
    <t>Average Salary and GDP Per Capita By Sub-Region</t>
  </si>
  <si>
    <t>Sum of Monthly_wage(USD)</t>
  </si>
  <si>
    <t>Sum of Average_Monthly_Salary(USD)</t>
  </si>
  <si>
    <t>Count of Country</t>
  </si>
  <si>
    <t>AVG Population</t>
  </si>
  <si>
    <t>AVG GDP per Capita</t>
  </si>
  <si>
    <t>Average of Monthly_wage(USD)</t>
  </si>
  <si>
    <t>Average Monthly_wage(USD)</t>
  </si>
  <si>
    <t>Average Population</t>
  </si>
  <si>
    <t>Average of Estimated Total Monthly Cost(USD)</t>
  </si>
  <si>
    <t>AVG Estimated MC</t>
  </si>
  <si>
    <t>Average of Average_Monthly_Salary(USD)</t>
  </si>
  <si>
    <t>Count Of 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</si>
</sst>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0"/>
  </numFmts>
  <fonts count="10" x14ac:knownFonts="1">
    <font>
      <sz val="11"/>
      <color theme="1"/>
      <name val="Calibri"/>
      <family val="2"/>
      <scheme val="minor"/>
    </font>
    <font>
      <sz val="16"/>
      <color theme="1"/>
      <name val="Calibri"/>
      <family val="2"/>
      <scheme val="minor"/>
    </font>
    <font>
      <sz val="16"/>
      <color theme="0"/>
      <name val="Calibri"/>
      <family val="2"/>
      <scheme val="minor"/>
    </font>
    <font>
      <sz val="9"/>
      <color indexed="81"/>
      <name val="Tahoma"/>
      <family val="2"/>
    </font>
    <font>
      <b/>
      <sz val="9"/>
      <color indexed="81"/>
      <name val="Tahoma"/>
      <family val="2"/>
    </font>
    <font>
      <sz val="9"/>
      <color indexed="81"/>
      <name val="Tahoma"/>
      <charset val="1"/>
    </font>
    <font>
      <b/>
      <sz val="9"/>
      <color indexed="81"/>
      <name val="Tahoma"/>
      <charset val="1"/>
    </font>
    <font>
      <sz val="14"/>
      <color theme="1"/>
      <name val="Calibri"/>
      <family val="2"/>
      <scheme val="minor"/>
    </font>
    <font>
      <sz val="16"/>
      <color theme="2"/>
      <name val="Calibri"/>
      <family val="2"/>
      <scheme val="minor"/>
    </font>
    <font>
      <sz val="11"/>
      <color theme="1"/>
      <name val="Times New Roman"/>
      <family val="1"/>
    </font>
  </fonts>
  <fills count="8">
    <fill>
      <patternFill patternType="none"/>
    </fill>
    <fill>
      <patternFill patternType="gray125"/>
    </fill>
    <fill>
      <patternFill patternType="solid">
        <fgColor theme="3"/>
        <bgColor indexed="64"/>
      </patternFill>
    </fill>
    <fill>
      <patternFill patternType="solid">
        <fgColor theme="9" tint="0.79998168889431442"/>
        <bgColor theme="9" tint="0.79998168889431442"/>
      </patternFill>
    </fill>
    <fill>
      <patternFill patternType="solid">
        <fgColor theme="9" tint="-0.249977111117893"/>
        <bgColor indexed="64"/>
      </patternFill>
    </fill>
    <fill>
      <patternFill patternType="solid">
        <fgColor theme="9" tint="-0.499984740745262"/>
        <bgColor indexed="64"/>
      </patternFill>
    </fill>
    <fill>
      <patternFill patternType="solid">
        <fgColor theme="3" tint="-0.499984740745262"/>
        <bgColor indexed="64"/>
      </patternFill>
    </fill>
    <fill>
      <patternFill patternType="solid">
        <fgColor theme="9" tint="0.39997558519241921"/>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67">
    <xf numFmtId="0" fontId="0" fillId="0" borderId="0" xfId="0"/>
    <xf numFmtId="3" fontId="0" fillId="0" borderId="0" xfId="0" applyNumberFormat="1"/>
    <xf numFmtId="49" fontId="0" fillId="0" borderId="0" xfId="0" applyNumberFormat="1"/>
    <xf numFmtId="164" fontId="0" fillId="0" borderId="0" xfId="0" applyNumberFormat="1"/>
    <xf numFmtId="1" fontId="0" fillId="0" borderId="0" xfId="0" applyNumberFormat="1"/>
    <xf numFmtId="49" fontId="2" fillId="2" borderId="1" xfId="0" applyNumberFormat="1" applyFont="1" applyFill="1" applyBorder="1" applyAlignment="1">
      <alignment horizontal="center" vertical="center"/>
    </xf>
    <xf numFmtId="3" fontId="2" fillId="2" borderId="1" xfId="0" applyNumberFormat="1" applyFont="1" applyFill="1" applyBorder="1" applyAlignment="1">
      <alignment horizontal="center" vertical="center"/>
    </xf>
    <xf numFmtId="164" fontId="2" fillId="2" borderId="1" xfId="0" applyNumberFormat="1" applyFont="1" applyFill="1" applyBorder="1" applyAlignment="1">
      <alignment horizontal="center" vertical="center"/>
    </xf>
    <xf numFmtId="49" fontId="1" fillId="0" borderId="1" xfId="0" applyNumberFormat="1" applyFont="1" applyBorder="1" applyAlignment="1">
      <alignment horizontal="center" vertical="center"/>
    </xf>
    <xf numFmtId="3" fontId="1" fillId="0" borderId="1" xfId="0" applyNumberFormat="1" applyFont="1" applyBorder="1" applyAlignment="1">
      <alignment horizontal="center" vertical="center"/>
    </xf>
    <xf numFmtId="164" fontId="1" fillId="0" borderId="1" xfId="0" applyNumberFormat="1" applyFont="1" applyBorder="1" applyAlignment="1">
      <alignment horizontal="center" vertical="center"/>
    </xf>
    <xf numFmtId="164" fontId="1" fillId="0" borderId="0" xfId="0" applyNumberFormat="1" applyFont="1"/>
    <xf numFmtId="1" fontId="2" fillId="2" borderId="2" xfId="0" applyNumberFormat="1" applyFont="1" applyFill="1" applyBorder="1" applyAlignment="1">
      <alignment horizontal="center" vertical="center"/>
    </xf>
    <xf numFmtId="1" fontId="1" fillId="0" borderId="2" xfId="0" applyNumberFormat="1" applyFont="1" applyBorder="1" applyAlignment="1">
      <alignment horizontal="center" vertical="center"/>
    </xf>
    <xf numFmtId="164" fontId="0" fillId="0" borderId="1" xfId="0" applyNumberFormat="1" applyBorder="1"/>
    <xf numFmtId="164" fontId="1" fillId="0" borderId="1" xfId="0" applyNumberFormat="1" applyFont="1" applyBorder="1"/>
    <xf numFmtId="0" fontId="2" fillId="2" borderId="1" xfId="0" applyFont="1" applyFill="1" applyBorder="1" applyAlignment="1">
      <alignment vertical="center"/>
    </xf>
    <xf numFmtId="164" fontId="2" fillId="2" borderId="1" xfId="0" applyNumberFormat="1" applyFont="1" applyFill="1" applyBorder="1" applyAlignment="1">
      <alignment vertical="center"/>
    </xf>
    <xf numFmtId="164" fontId="1" fillId="0" borderId="4" xfId="0" applyNumberFormat="1" applyFont="1" applyBorder="1" applyAlignment="1">
      <alignment horizontal="center" vertical="center"/>
    </xf>
    <xf numFmtId="164" fontId="2" fillId="2" borderId="5" xfId="0" applyNumberFormat="1" applyFont="1" applyFill="1" applyBorder="1" applyAlignment="1">
      <alignment horizontal="center" vertical="center"/>
    </xf>
    <xf numFmtId="164" fontId="1" fillId="0" borderId="6" xfId="0" applyNumberFormat="1" applyFont="1" applyBorder="1" applyAlignment="1">
      <alignment horizontal="center" vertical="center"/>
    </xf>
    <xf numFmtId="49" fontId="1" fillId="0" borderId="3" xfId="0" applyNumberFormat="1" applyFont="1" applyBorder="1" applyAlignment="1">
      <alignment horizontal="center" vertical="center"/>
    </xf>
    <xf numFmtId="3" fontId="1" fillId="0" borderId="2" xfId="0" applyNumberFormat="1" applyFont="1" applyBorder="1" applyAlignment="1">
      <alignment horizontal="center" vertical="center"/>
    </xf>
    <xf numFmtId="49" fontId="2" fillId="2" borderId="8" xfId="0" applyNumberFormat="1" applyFont="1" applyFill="1" applyBorder="1" applyAlignment="1">
      <alignment horizontal="center" vertical="center"/>
    </xf>
    <xf numFmtId="49" fontId="2" fillId="2" borderId="9" xfId="0" applyNumberFormat="1" applyFont="1" applyFill="1" applyBorder="1" applyAlignment="1">
      <alignment horizontal="center" vertical="center"/>
    </xf>
    <xf numFmtId="3" fontId="2" fillId="2" borderId="10" xfId="0" applyNumberFormat="1" applyFont="1" applyFill="1" applyBorder="1" applyAlignment="1">
      <alignment horizontal="center" vertical="center"/>
    </xf>
    <xf numFmtId="49" fontId="1" fillId="0" borderId="11" xfId="0" applyNumberFormat="1" applyFont="1" applyBorder="1" applyAlignment="1">
      <alignment horizontal="center" vertical="center"/>
    </xf>
    <xf numFmtId="49" fontId="1" fillId="0" borderId="7" xfId="0" applyNumberFormat="1" applyFont="1" applyBorder="1" applyAlignment="1">
      <alignment horizontal="center" vertical="center"/>
    </xf>
    <xf numFmtId="3" fontId="1" fillId="0" borderId="12" xfId="0" applyNumberFormat="1" applyFont="1" applyBorder="1" applyAlignment="1">
      <alignment horizontal="center" vertical="center"/>
    </xf>
    <xf numFmtId="164" fontId="1" fillId="0" borderId="2" xfId="0" applyNumberFormat="1" applyFont="1" applyBorder="1"/>
    <xf numFmtId="164" fontId="2" fillId="2" borderId="9" xfId="0" applyNumberFormat="1" applyFont="1" applyFill="1" applyBorder="1" applyAlignment="1">
      <alignment horizontal="center" vertical="center"/>
    </xf>
    <xf numFmtId="1" fontId="2" fillId="2" borderId="10" xfId="0" applyNumberFormat="1" applyFont="1" applyFill="1" applyBorder="1" applyAlignment="1">
      <alignment horizontal="center" vertical="center"/>
    </xf>
    <xf numFmtId="164" fontId="2" fillId="2" borderId="9" xfId="0" applyNumberFormat="1" applyFont="1" applyFill="1" applyBorder="1" applyAlignment="1">
      <alignment vertical="center"/>
    </xf>
    <xf numFmtId="164" fontId="2" fillId="2" borderId="10" xfId="0" applyNumberFormat="1" applyFont="1" applyFill="1" applyBorder="1" applyAlignment="1">
      <alignment horizontal="center" vertical="center"/>
    </xf>
    <xf numFmtId="164" fontId="1" fillId="0" borderId="7" xfId="0" applyNumberFormat="1" applyFont="1" applyBorder="1" applyAlignment="1">
      <alignment horizontal="center" vertical="center"/>
    </xf>
    <xf numFmtId="1" fontId="1" fillId="0" borderId="12" xfId="0" applyNumberFormat="1" applyFont="1" applyBorder="1" applyAlignment="1">
      <alignment horizontal="center" vertical="center"/>
    </xf>
    <xf numFmtId="164" fontId="1" fillId="0" borderId="7" xfId="0" applyNumberFormat="1" applyFont="1" applyBorder="1"/>
    <xf numFmtId="164" fontId="1" fillId="0" borderId="12" xfId="0" applyNumberFormat="1" applyFont="1" applyBorder="1"/>
    <xf numFmtId="0" fontId="1" fillId="0" borderId="1" xfId="0" applyFont="1" applyBorder="1"/>
    <xf numFmtId="0" fontId="1" fillId="4" borderId="1" xfId="0" applyFont="1" applyFill="1" applyBorder="1"/>
    <xf numFmtId="49" fontId="1" fillId="3" borderId="1" xfId="0" applyNumberFormat="1" applyFont="1" applyFill="1" applyBorder="1"/>
    <xf numFmtId="0" fontId="1" fillId="0" borderId="0" xfId="0" applyFont="1"/>
    <xf numFmtId="49" fontId="1" fillId="0" borderId="1" xfId="0" applyNumberFormat="1" applyFont="1" applyBorder="1"/>
    <xf numFmtId="1" fontId="1" fillId="0" borderId="1" xfId="0" applyNumberFormat="1" applyFont="1" applyBorder="1"/>
    <xf numFmtId="49" fontId="2" fillId="5" borderId="8" xfId="0" applyNumberFormat="1" applyFont="1" applyFill="1" applyBorder="1" applyAlignment="1">
      <alignment horizontal="center" vertical="center"/>
    </xf>
    <xf numFmtId="49" fontId="2" fillId="5" borderId="9" xfId="0" applyNumberFormat="1" applyFont="1" applyFill="1" applyBorder="1" applyAlignment="1">
      <alignment horizontal="center" vertical="center"/>
    </xf>
    <xf numFmtId="3" fontId="2" fillId="5" borderId="10" xfId="0" applyNumberFormat="1" applyFont="1" applyFill="1" applyBorder="1" applyAlignment="1">
      <alignment horizontal="center" vertical="center"/>
    </xf>
    <xf numFmtId="164" fontId="2" fillId="5" borderId="5" xfId="0" applyNumberFormat="1" applyFont="1" applyFill="1" applyBorder="1" applyAlignment="1">
      <alignment horizontal="center" vertical="center"/>
    </xf>
    <xf numFmtId="164" fontId="2" fillId="5" borderId="9" xfId="0" applyNumberFormat="1" applyFont="1" applyFill="1" applyBorder="1" applyAlignment="1">
      <alignment horizontal="center" vertical="center"/>
    </xf>
    <xf numFmtId="1" fontId="2" fillId="5" borderId="10" xfId="0" applyNumberFormat="1" applyFont="1" applyFill="1" applyBorder="1" applyAlignment="1">
      <alignment horizontal="center" vertical="center"/>
    </xf>
    <xf numFmtId="164" fontId="2" fillId="5" borderId="9" xfId="0" applyNumberFormat="1" applyFont="1" applyFill="1" applyBorder="1" applyAlignment="1">
      <alignment vertical="center"/>
    </xf>
    <xf numFmtId="164" fontId="2" fillId="5" borderId="10" xfId="0" applyNumberFormat="1" applyFont="1" applyFill="1" applyBorder="1" applyAlignment="1">
      <alignment horizontal="center" vertical="center"/>
    </xf>
    <xf numFmtId="0" fontId="7" fillId="0" borderId="0" xfId="0" applyFont="1"/>
    <xf numFmtId="0" fontId="1" fillId="6" borderId="0" xfId="0" applyFont="1" applyFill="1"/>
    <xf numFmtId="0" fontId="8" fillId="6" borderId="0" xfId="0" applyFont="1" applyFill="1" applyAlignment="1">
      <alignment horizontal="center" vertical="center"/>
    </xf>
    <xf numFmtId="0" fontId="9" fillId="0" borderId="1" xfId="0" applyFont="1" applyBorder="1"/>
    <xf numFmtId="3" fontId="9" fillId="0" borderId="1" xfId="0" applyNumberFormat="1" applyFont="1" applyBorder="1"/>
    <xf numFmtId="164" fontId="9" fillId="0" borderId="1" xfId="0" applyNumberFormat="1" applyFont="1" applyBorder="1"/>
    <xf numFmtId="0" fontId="9" fillId="0" borderId="1" xfId="0" pivotButton="1" applyFont="1" applyBorder="1"/>
    <xf numFmtId="164" fontId="9" fillId="7" borderId="1" xfId="0" applyNumberFormat="1" applyFont="1" applyFill="1" applyBorder="1"/>
    <xf numFmtId="0" fontId="9" fillId="0" borderId="1" xfId="0" applyFont="1" applyBorder="1" applyAlignment="1">
      <alignment horizontal="left"/>
    </xf>
    <xf numFmtId="0" fontId="2" fillId="6" borderId="0" xfId="0" applyFont="1" applyFill="1" applyAlignment="1">
      <alignment horizontal="center" vertical="center"/>
    </xf>
    <xf numFmtId="0" fontId="1" fillId="2" borderId="1" xfId="0" applyFont="1" applyFill="1" applyBorder="1" applyAlignment="1">
      <alignment horizontal="center"/>
    </xf>
    <xf numFmtId="0" fontId="1" fillId="2" borderId="0" xfId="0" applyFont="1" applyFill="1" applyAlignment="1">
      <alignment horizontal="left" vertical="top"/>
    </xf>
    <xf numFmtId="0" fontId="1" fillId="2" borderId="2" xfId="0" applyFont="1" applyFill="1" applyBorder="1" applyAlignment="1">
      <alignment horizontal="center"/>
    </xf>
    <xf numFmtId="0" fontId="1" fillId="2" borderId="3" xfId="0" applyFont="1" applyFill="1" applyBorder="1" applyAlignment="1">
      <alignment horizontal="center"/>
    </xf>
    <xf numFmtId="0" fontId="2" fillId="6" borderId="0" xfId="0" applyFont="1" applyFill="1" applyAlignment="1">
      <alignment horizontal="center" vertical="center"/>
    </xf>
  </cellXfs>
  <cellStyles count="1">
    <cellStyle name="Normal" xfId="0" builtinId="0"/>
  </cellStyles>
  <dxfs count="318">
    <dxf>
      <numFmt numFmtId="3" formatCode="#,##0"/>
    </dxf>
    <dxf>
      <font>
        <sz val="11"/>
      </font>
    </dxf>
    <dxf>
      <font>
        <sz val="1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dxf>
    <dxf>
      <font>
        <sz val="16"/>
      </font>
    </dxf>
    <dxf>
      <font>
        <sz val="16"/>
      </font>
    </dxf>
    <dxf>
      <font>
        <sz val="16"/>
      </font>
    </dxf>
    <dxf>
      <font>
        <sz val="16"/>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numFmt numFmtId="164" formatCode="[$$-409]#,##0"/>
    </dxf>
    <dxf>
      <numFmt numFmtId="164" formatCode="[$$-409]#,##0"/>
    </dxf>
    <dxf>
      <numFmt numFmtId="164" formatCode="[$$-409]#,##0"/>
    </dxf>
    <dxf>
      <fill>
        <patternFill>
          <bgColor theme="9" tint="0.39997558519241921"/>
        </patternFill>
      </fill>
    </dxf>
    <dxf>
      <fill>
        <patternFill>
          <bgColor theme="9" tint="0.39997558519241921"/>
        </patternFill>
      </fill>
    </dxf>
    <dxf>
      <fill>
        <patternFill>
          <bgColor theme="9" tint="0.39997558519241921"/>
        </patternFill>
      </fill>
    </dxf>
    <dxf>
      <fill>
        <patternFill>
          <bgColor theme="0"/>
        </patternFill>
      </fill>
    </dxf>
    <dxf>
      <border>
        <left/>
        <right/>
        <top/>
        <bottom/>
        <vertical/>
        <horizontal/>
      </border>
    </dxf>
    <dxf>
      <fill>
        <patternFill patternType="solid">
          <bgColor theme="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font>
        <sz val="11"/>
      </font>
    </dxf>
    <dxf>
      <font>
        <sz val="1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dxf>
    <dxf>
      <font>
        <sz val="16"/>
      </font>
    </dxf>
    <dxf>
      <font>
        <sz val="16"/>
      </font>
    </dxf>
    <dxf>
      <font>
        <sz val="16"/>
      </font>
    </dxf>
    <dxf>
      <font>
        <sz val="16"/>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numFmt numFmtId="164" formatCode="[$$-409]#,##0"/>
    </dxf>
    <dxf>
      <numFmt numFmtId="164" formatCode="[$$-409]#,##0"/>
    </dxf>
    <dxf>
      <numFmt numFmtId="164" formatCode="[$$-409]#,##0"/>
    </dxf>
    <dxf>
      <fill>
        <patternFill>
          <bgColor theme="9" tint="0.39997558519241921"/>
        </patternFill>
      </fill>
    </dxf>
    <dxf>
      <fill>
        <patternFill>
          <bgColor theme="9" tint="0.39997558519241921"/>
        </patternFill>
      </fill>
    </dxf>
    <dxf>
      <fill>
        <patternFill>
          <bgColor theme="9" tint="0.39997558519241921"/>
        </patternFill>
      </fill>
    </dxf>
    <dxf>
      <fill>
        <patternFill>
          <bgColor theme="0"/>
        </patternFill>
      </fill>
    </dxf>
    <dxf>
      <border>
        <left/>
        <right/>
        <top/>
        <bottom/>
        <vertical/>
        <horizontal/>
      </border>
    </dxf>
    <dxf>
      <fill>
        <patternFill patternType="solid">
          <bgColor theme="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font>
        <sz val="11"/>
      </font>
    </dxf>
    <dxf>
      <font>
        <sz val="1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dxf>
    <dxf>
      <font>
        <sz val="16"/>
      </font>
    </dxf>
    <dxf>
      <font>
        <sz val="16"/>
      </font>
    </dxf>
    <dxf>
      <font>
        <sz val="16"/>
      </font>
    </dxf>
    <dxf>
      <font>
        <sz val="16"/>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numFmt numFmtId="164" formatCode="[$$-409]#,##0"/>
    </dxf>
    <dxf>
      <numFmt numFmtId="164" formatCode="[$$-409]#,##0"/>
    </dxf>
    <dxf>
      <numFmt numFmtId="164" formatCode="[$$-409]#,##0"/>
    </dxf>
    <dxf>
      <fill>
        <patternFill>
          <bgColor theme="9" tint="0.39997558519241921"/>
        </patternFill>
      </fill>
    </dxf>
    <dxf>
      <fill>
        <patternFill>
          <bgColor theme="9" tint="0.39997558519241921"/>
        </patternFill>
      </fill>
    </dxf>
    <dxf>
      <fill>
        <patternFill>
          <bgColor theme="9" tint="0.39997558519241921"/>
        </patternFill>
      </fill>
    </dxf>
    <dxf>
      <fill>
        <patternFill>
          <bgColor theme="0"/>
        </patternFill>
      </fill>
    </dxf>
    <dxf>
      <border>
        <left/>
        <right/>
        <top/>
        <bottom/>
        <vertical/>
        <horizontal/>
      </border>
    </dxf>
    <dxf>
      <fill>
        <patternFill patternType="solid">
          <bgColor theme="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1"/>
      </font>
    </dxf>
    <dxf>
      <font>
        <sz val="11"/>
      </font>
    </dxf>
    <dxf>
      <font>
        <sz val="11"/>
      </font>
    </dxf>
    <dxf>
      <font>
        <sz val="11"/>
      </font>
    </dxf>
    <dxf>
      <font>
        <sz val="11"/>
      </font>
    </dxf>
    <dxf>
      <font>
        <sz val="11"/>
      </font>
    </dxf>
    <dxf>
      <font>
        <sz val="1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dxf>
    <dxf>
      <font>
        <sz val="16"/>
      </font>
    </dxf>
    <dxf>
      <font>
        <sz val="16"/>
      </font>
    </dxf>
    <dxf>
      <font>
        <sz val="16"/>
      </font>
    </dxf>
    <dxf>
      <font>
        <sz val="16"/>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numFmt numFmtId="164" formatCode="[$$-409]#,##0"/>
    </dxf>
    <dxf>
      <numFmt numFmtId="164" formatCode="[$$-409]#,##0"/>
    </dxf>
    <dxf>
      <numFmt numFmtId="164" formatCode="[$$-409]#,##0"/>
    </dxf>
    <dxf>
      <fill>
        <patternFill>
          <bgColor theme="9" tint="0.39997558519241921"/>
        </patternFill>
      </fill>
    </dxf>
    <dxf>
      <fill>
        <patternFill>
          <bgColor theme="9" tint="0.39997558519241921"/>
        </patternFill>
      </fill>
    </dxf>
    <dxf>
      <fill>
        <patternFill>
          <bgColor theme="9" tint="0.39997558519241921"/>
        </patternFill>
      </fill>
    </dxf>
    <dxf>
      <fill>
        <patternFill>
          <bgColor theme="0"/>
        </patternFill>
      </fill>
    </dxf>
    <dxf>
      <border>
        <left/>
        <right/>
        <top/>
        <bottom/>
        <vertical/>
        <horizontal/>
      </border>
    </dxf>
    <dxf>
      <fill>
        <patternFill patternType="solid">
          <bgColor theme="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font>
        <sz val="11"/>
      </font>
    </dxf>
    <dxf>
      <font>
        <sz val="1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dxf>
    <dxf>
      <font>
        <sz val="16"/>
      </font>
    </dxf>
    <dxf>
      <font>
        <sz val="16"/>
      </font>
    </dxf>
    <dxf>
      <font>
        <sz val="16"/>
      </font>
    </dxf>
    <dxf>
      <font>
        <sz val="16"/>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numFmt numFmtId="164" formatCode="[$$-409]#,##0"/>
    </dxf>
    <dxf>
      <numFmt numFmtId="164" formatCode="[$$-409]#,##0"/>
    </dxf>
    <dxf>
      <numFmt numFmtId="164" formatCode="[$$-409]#,##0"/>
    </dxf>
    <dxf>
      <fill>
        <patternFill>
          <bgColor theme="9" tint="0.39997558519241921"/>
        </patternFill>
      </fill>
    </dxf>
    <dxf>
      <fill>
        <patternFill>
          <bgColor theme="9" tint="0.39997558519241921"/>
        </patternFill>
      </fill>
    </dxf>
    <dxf>
      <fill>
        <patternFill>
          <bgColor theme="9" tint="0.39997558519241921"/>
        </patternFill>
      </fill>
    </dxf>
    <dxf>
      <fill>
        <patternFill>
          <bgColor theme="0"/>
        </patternFill>
      </fill>
    </dxf>
    <dxf>
      <border>
        <left/>
        <right/>
        <top/>
        <bottom/>
        <vertical/>
        <horizontal/>
      </border>
    </dxf>
    <dxf>
      <fill>
        <patternFill patternType="solid">
          <bgColor theme="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1"/>
      </font>
    </dxf>
    <dxf>
      <font>
        <sz val="1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dxf>
    <dxf>
      <font>
        <sz val="16"/>
      </font>
    </dxf>
    <dxf>
      <font>
        <sz val="16"/>
      </font>
    </dxf>
    <dxf>
      <font>
        <sz val="16"/>
      </font>
    </dxf>
    <dxf>
      <font>
        <sz val="16"/>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numFmt numFmtId="164" formatCode="[$$-409]#,##0"/>
    </dxf>
    <dxf>
      <numFmt numFmtId="164" formatCode="[$$-409]#,##0"/>
    </dxf>
    <dxf>
      <numFmt numFmtId="164" formatCode="[$$-409]#,##0"/>
    </dxf>
    <dxf>
      <fill>
        <patternFill>
          <bgColor theme="9" tint="0.39997558519241921"/>
        </patternFill>
      </fill>
    </dxf>
    <dxf>
      <fill>
        <patternFill>
          <bgColor theme="9" tint="0.39997558519241921"/>
        </patternFill>
      </fill>
    </dxf>
    <dxf>
      <fill>
        <patternFill>
          <bgColor theme="9" tint="0.39997558519241921"/>
        </patternFill>
      </fill>
    </dxf>
    <dxf>
      <fill>
        <patternFill>
          <bgColor theme="0"/>
        </patternFill>
      </fill>
    </dxf>
    <dxf>
      <border>
        <left/>
        <right/>
        <top/>
        <bottom/>
        <vertical/>
        <horizontal/>
      </border>
    </dxf>
    <dxf>
      <fill>
        <patternFill patternType="solid">
          <bgColor theme="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1"/>
      </font>
    </dxf>
    <dxf>
      <font>
        <sz val="11"/>
      </font>
    </dxf>
    <dxf>
      <font>
        <sz val="11"/>
      </font>
    </dxf>
    <dxf>
      <numFmt numFmtId="3" formatCode="#,##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dxf>
    <dxf>
      <font>
        <sz val="16"/>
      </font>
    </dxf>
    <dxf>
      <font>
        <sz val="16"/>
      </font>
    </dxf>
    <dxf>
      <font>
        <sz val="16"/>
      </font>
    </dxf>
    <dxf>
      <font>
        <sz val="16"/>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numFmt numFmtId="164" formatCode="[$$-409]#,##0"/>
    </dxf>
    <dxf>
      <numFmt numFmtId="164" formatCode="[$$-409]#,##0"/>
    </dxf>
    <dxf>
      <numFmt numFmtId="164" formatCode="[$$-409]#,##0"/>
    </dxf>
    <dxf>
      <fill>
        <patternFill>
          <bgColor theme="9" tint="0.39997558519241921"/>
        </patternFill>
      </fill>
    </dxf>
    <dxf>
      <fill>
        <patternFill>
          <bgColor theme="9" tint="0.39997558519241921"/>
        </patternFill>
      </fill>
    </dxf>
    <dxf>
      <fill>
        <patternFill>
          <bgColor theme="9" tint="0.39997558519241921"/>
        </patternFill>
      </fill>
    </dxf>
    <dxf>
      <fill>
        <patternFill>
          <bgColor theme="0"/>
        </patternFill>
      </fill>
    </dxf>
    <dxf>
      <border>
        <left/>
        <right/>
        <top/>
        <bottom/>
        <vertical/>
        <horizontal/>
      </border>
    </dxf>
    <dxf>
      <fill>
        <patternFill patternType="solid">
          <bgColor theme="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font>
        <sz val="11"/>
      </font>
    </dxf>
    <dxf>
      <font>
        <sz val="1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dxf>
    <dxf>
      <font>
        <sz val="16"/>
      </font>
    </dxf>
    <dxf>
      <font>
        <sz val="16"/>
      </font>
    </dxf>
    <dxf>
      <font>
        <sz val="16"/>
      </font>
    </dxf>
    <dxf>
      <font>
        <sz val="16"/>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numFmt numFmtId="164" formatCode="[$$-409]#,##0"/>
    </dxf>
    <dxf>
      <numFmt numFmtId="164" formatCode="[$$-409]#,##0"/>
    </dxf>
    <dxf>
      <numFmt numFmtId="164" formatCode="[$$-409]#,##0"/>
    </dxf>
    <dxf>
      <fill>
        <patternFill>
          <bgColor theme="9" tint="0.39997558519241921"/>
        </patternFill>
      </fill>
    </dxf>
    <dxf>
      <fill>
        <patternFill>
          <bgColor theme="9" tint="0.39997558519241921"/>
        </patternFill>
      </fill>
    </dxf>
    <dxf>
      <fill>
        <patternFill>
          <bgColor theme="9" tint="0.39997558519241921"/>
        </patternFill>
      </fill>
    </dxf>
    <dxf>
      <fill>
        <patternFill>
          <bgColor theme="0"/>
        </patternFill>
      </fill>
    </dxf>
    <dxf>
      <border>
        <left/>
        <right/>
        <top/>
        <bottom/>
        <vertical/>
        <horizontal/>
      </border>
    </dxf>
    <dxf>
      <fill>
        <patternFill patternType="solid">
          <bgColor theme="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409]#,##0"/>
    </dxf>
    <dxf>
      <numFmt numFmtId="164" formatCode="[$$-409]#,##0"/>
    </dxf>
    <dxf>
      <numFmt numFmtId="164" formatCode="[$$-409]#,##0"/>
    </dxf>
    <dxf>
      <numFmt numFmtId="1" formatCode="0"/>
    </dxf>
    <dxf>
      <numFmt numFmtId="164" formatCode="[$$-409]#,##0"/>
    </dxf>
    <dxf>
      <numFmt numFmtId="30" formatCode="@"/>
    </dxf>
    <dxf>
      <numFmt numFmtId="30" formatCode="@"/>
    </dxf>
    <dxf>
      <numFmt numFmtId="164" formatCode="[$$-409]#,##0"/>
    </dxf>
    <dxf>
      <numFmt numFmtId="30" formatCode="@"/>
    </dxf>
    <dxf>
      <numFmt numFmtId="164" formatCode="[$$-409]#,##0"/>
    </dxf>
    <dxf>
      <numFmt numFmtId="1" formatCode="0"/>
    </dxf>
    <dxf>
      <numFmt numFmtId="30" formatCode="@"/>
    </dxf>
    <dxf>
      <numFmt numFmtId="30" formatCode="@"/>
    </dxf>
    <dxf>
      <numFmt numFmtId="30" formatCode="@"/>
    </dxf>
    <dxf>
      <numFmt numFmtId="30" formatCode="@"/>
    </dxf>
    <dxf>
      <numFmt numFmtId="30" formatCode="@"/>
    </dxf>
    <dxf>
      <font>
        <color rgb="FF9C0006"/>
      </font>
      <fill>
        <patternFill>
          <bgColor rgb="FFFFC7CE"/>
        </patternFill>
      </fill>
    </dxf>
    <dxf>
      <font>
        <color rgb="FF9C0006"/>
      </font>
      <fill>
        <patternFill>
          <bgColor rgb="FFFFC7CE"/>
        </patternFill>
      </fill>
    </dxf>
    <dxf>
      <font>
        <color rgb="FF006100"/>
      </font>
      <fill>
        <patternFill>
          <bgColor rgb="FFC6EFCE"/>
        </patternFill>
      </fill>
    </dxf>
    <dxf>
      <numFmt numFmtId="164" formatCode="[$$-409]#,##0"/>
    </dxf>
    <dxf>
      <numFmt numFmtId="164" formatCode="[$$-409]#,##0"/>
    </dxf>
    <dxf>
      <numFmt numFmtId="164" formatCode="[$$-409]#,##0"/>
    </dxf>
    <dxf>
      <numFmt numFmtId="1" formatCode="0"/>
    </dxf>
    <dxf>
      <numFmt numFmtId="164" formatCode="[$$-409]#,##0"/>
    </dxf>
    <dxf>
      <numFmt numFmtId="30" formatCode="@"/>
    </dxf>
    <dxf>
      <numFmt numFmtId="30" formatCode="@"/>
    </dxf>
    <dxf>
      <numFmt numFmtId="164" formatCode="[$$-409]#,##0"/>
    </dxf>
    <dxf>
      <numFmt numFmtId="30" formatCode="@"/>
    </dxf>
    <dxf>
      <numFmt numFmtId="164" formatCode="[$$-409]#,##0"/>
    </dxf>
    <dxf>
      <numFmt numFmtId="1" formatCode="0"/>
    </dxf>
    <dxf>
      <numFmt numFmtId="30" formatCode="@"/>
    </dxf>
    <dxf>
      <numFmt numFmtId="30" formatCode="@"/>
    </dxf>
    <dxf>
      <numFmt numFmtId="30" formatCode="@"/>
    </dxf>
    <dxf>
      <numFmt numFmtId="30" formatCode="@"/>
    </dxf>
    <dxf>
      <numFmt numFmtId="30" formatCode="@"/>
    </dxf>
    <dxf>
      <font>
        <b val="0"/>
        <i val="0"/>
        <strike val="0"/>
        <condense val="0"/>
        <extend val="0"/>
        <outline val="0"/>
        <shadow val="0"/>
        <u val="none"/>
        <vertAlign val="baseline"/>
        <sz val="16"/>
        <color theme="1"/>
        <name val="Calibri"/>
        <scheme val="minor"/>
      </font>
      <numFmt numFmtId="164" formatCode="[$$-409]#,##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6"/>
        <color theme="1"/>
        <name val="Calibri"/>
        <scheme val="minor"/>
      </font>
      <numFmt numFmtId="164" formatCode="[$$-409]#,##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Calibri"/>
        <scheme val="minor"/>
      </font>
      <numFmt numFmtId="164" formatCode="[$$-409]#,##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Calibri"/>
        <scheme val="minor"/>
      </font>
      <numFmt numFmtId="1" formatCode="0"/>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6"/>
        <color theme="1"/>
        <name val="Calibri"/>
        <scheme val="minor"/>
      </font>
      <numFmt numFmtId="164" formatCode="[$$-409]#,##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Calibri"/>
        <scheme val="minor"/>
      </font>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Calibri"/>
        <scheme val="minor"/>
      </font>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Calibri"/>
        <scheme val="minor"/>
      </font>
      <numFmt numFmtId="164" formatCode="[$$-409]#,##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Calibri"/>
        <scheme val="minor"/>
      </font>
      <numFmt numFmtId="30" formatCode="@"/>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6"/>
        <color theme="0"/>
        <name val="Calibri"/>
        <scheme val="minor"/>
      </font>
      <numFmt numFmtId="164" formatCode="[$$-409]#,##0"/>
      <fill>
        <patternFill patternType="solid">
          <fgColor indexed="64"/>
          <bgColor theme="3"/>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6"/>
        <color theme="1"/>
        <name val="Calibri"/>
        <scheme val="minor"/>
      </font>
      <numFmt numFmtId="3" formatCode="#,##0"/>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6"/>
        <color theme="1"/>
        <name val="Calibri"/>
        <scheme val="minor"/>
      </font>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Calibri"/>
        <scheme val="minor"/>
      </font>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Calibri"/>
        <scheme val="minor"/>
      </font>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Calibri"/>
        <scheme val="minor"/>
      </font>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Calibri"/>
        <scheme val="minor"/>
      </font>
      <numFmt numFmtId="30" formatCode="@"/>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alignment horizontal="center"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6"/>
        <color theme="0"/>
        <name val="Calibri"/>
        <scheme val="minor"/>
      </font>
      <numFmt numFmtId="30" formatCode="@"/>
      <fill>
        <patternFill patternType="solid">
          <fgColor indexed="64"/>
          <bgColor theme="3"/>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6"/>
        <color theme="1"/>
        <name val="Calibri"/>
        <scheme val="minor"/>
      </font>
      <numFmt numFmtId="164" formatCode="[$$-409]#,##0"/>
      <alignment horizontal="center" vertical="center" textRotation="0" wrapText="0" indent="0" justifyLastLine="0" shrinkToFit="0" readingOrder="0"/>
      <border diagonalUp="0" diagonalDown="0">
        <left/>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alignment horizontal="center"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6"/>
        <color theme="0"/>
        <name val="Calibri"/>
        <scheme val="minor"/>
      </font>
      <numFmt numFmtId="164" formatCode="[$$-409]#,##0"/>
      <fill>
        <patternFill patternType="solid">
          <fgColor indexed="64"/>
          <bgColor theme="3"/>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[Countries_region.xlsx]PivotTable!PivotTable12</c:name>
    <c:fmtId val="7"/>
  </c:pivotSource>
  <c:chart>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layout>
            <c:manualLayout>
              <c:x val="-2.8476767676767677E-2"/>
              <c:y val="-5.78231292517006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2"/>
            </a:solidFill>
            <a:round/>
          </a:ln>
          <a:effectLst/>
        </c:spPr>
        <c:marker>
          <c:symbol val="none"/>
        </c:marker>
        <c:dLbl>
          <c:idx val="0"/>
          <c:layout>
            <c:manualLayout>
              <c:x val="-2.8476767676767677E-2"/>
              <c:y val="-5.78231292517006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2"/>
            </a:solidFill>
            <a:round/>
          </a:ln>
          <a:effectLst/>
        </c:spPr>
        <c:marker>
          <c:symbol val="none"/>
        </c:marker>
        <c:dLbl>
          <c:idx val="0"/>
          <c:layout>
            <c:manualLayout>
              <c:x val="-2.8476767676767677E-2"/>
              <c:y val="-5.7823129251700682E-2"/>
            </c:manualLayout>
          </c:layout>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PivotTable!$B$44</c:f>
              <c:strCache>
                <c:ptCount val="1"/>
                <c:pt idx="0">
                  <c:v>Average Population</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PivotTable!$A$45:$A$50</c:f>
              <c:strCache>
                <c:ptCount val="6"/>
                <c:pt idx="0">
                  <c:v>Africa</c:v>
                </c:pt>
                <c:pt idx="1">
                  <c:v>Asia</c:v>
                </c:pt>
                <c:pt idx="2">
                  <c:v>Europe</c:v>
                </c:pt>
                <c:pt idx="3">
                  <c:v>North America</c:v>
                </c:pt>
                <c:pt idx="4">
                  <c:v>Oceania</c:v>
                </c:pt>
                <c:pt idx="5">
                  <c:v>South America</c:v>
                </c:pt>
              </c:strCache>
            </c:strRef>
          </c:cat>
          <c:val>
            <c:numRef>
              <c:f>PivotTable!$B$45:$B$50</c:f>
              <c:numCache>
                <c:formatCode>#,##0</c:formatCode>
                <c:ptCount val="6"/>
                <c:pt idx="0">
                  <c:v>28906000</c:v>
                </c:pt>
                <c:pt idx="1">
                  <c:v>98749375</c:v>
                </c:pt>
                <c:pt idx="2">
                  <c:v>17935341.463414636</c:v>
                </c:pt>
                <c:pt idx="3">
                  <c:v>25036625</c:v>
                </c:pt>
                <c:pt idx="4">
                  <c:v>6046714.2857142854</c:v>
                </c:pt>
                <c:pt idx="5">
                  <c:v>36550000</c:v>
                </c:pt>
              </c:numCache>
            </c:numRef>
          </c:val>
          <c:extLst>
            <c:ext xmlns:c16="http://schemas.microsoft.com/office/drawing/2014/chart" uri="{C3380CC4-5D6E-409C-BE32-E72D297353CC}">
              <c16:uniqueId val="{00000000-28A6-448C-89E4-19CB1AC4AC82}"/>
            </c:ext>
          </c:extLst>
        </c:ser>
        <c:dLbls>
          <c:dLblPos val="ctr"/>
          <c:showLegendKey val="0"/>
          <c:showVal val="1"/>
          <c:showCatName val="0"/>
          <c:showSerName val="0"/>
          <c:showPercent val="0"/>
          <c:showBubbleSize val="0"/>
        </c:dLbls>
        <c:gapWidth val="219"/>
        <c:overlap val="-27"/>
        <c:axId val="2055905504"/>
        <c:axId val="2055895520"/>
      </c:barChart>
      <c:lineChart>
        <c:grouping val="standard"/>
        <c:varyColors val="0"/>
        <c:ser>
          <c:idx val="1"/>
          <c:order val="1"/>
          <c:tx>
            <c:strRef>
              <c:f>PivotTable!$C$44</c:f>
              <c:strCache>
                <c:ptCount val="1"/>
                <c:pt idx="0">
                  <c:v>Average Monthly_wage(USD)</c:v>
                </c:pt>
              </c:strCache>
            </c:strRef>
          </c:tx>
          <c:spPr>
            <a:ln w="28575" cap="rnd">
              <a:solidFill>
                <a:schemeClr val="accent2"/>
              </a:solidFill>
              <a:round/>
            </a:ln>
            <a:effectLst/>
          </c:spPr>
          <c:marker>
            <c:symbol val="none"/>
          </c:marker>
          <c:dPt>
            <c:idx val="0"/>
            <c:marker>
              <c:symbol val="none"/>
            </c:marker>
            <c:bubble3D val="0"/>
            <c:spPr>
              <a:ln w="28575" cap="rnd">
                <a:solidFill>
                  <a:schemeClr val="accent2"/>
                </a:solidFill>
                <a:round/>
              </a:ln>
              <a:effectLst/>
            </c:spPr>
            <c:extLst>
              <c:ext xmlns:c16="http://schemas.microsoft.com/office/drawing/2014/chart" uri="{C3380CC4-5D6E-409C-BE32-E72D297353CC}">
                <c16:uniqueId val="{00000001-28A6-448C-89E4-19CB1AC4AC82}"/>
              </c:ext>
            </c:extLst>
          </c:dPt>
          <c:dLbls>
            <c:dLbl>
              <c:idx val="0"/>
              <c:layout>
                <c:manualLayout>
                  <c:x val="-2.8476767676767677E-2"/>
                  <c:y val="-5.782312925170068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8A6-448C-89E4-19CB1AC4AC82}"/>
                </c:ext>
              </c:extLst>
            </c:dLbl>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PivotTable!$A$45:$A$50</c:f>
              <c:strCache>
                <c:ptCount val="6"/>
                <c:pt idx="0">
                  <c:v>Africa</c:v>
                </c:pt>
                <c:pt idx="1">
                  <c:v>Asia</c:v>
                </c:pt>
                <c:pt idx="2">
                  <c:v>Europe</c:v>
                </c:pt>
                <c:pt idx="3">
                  <c:v>North America</c:v>
                </c:pt>
                <c:pt idx="4">
                  <c:v>Oceania</c:v>
                </c:pt>
                <c:pt idx="5">
                  <c:v>South America</c:v>
                </c:pt>
              </c:strCache>
            </c:strRef>
          </c:cat>
          <c:val>
            <c:numRef>
              <c:f>PivotTable!$C$45:$C$50</c:f>
              <c:numCache>
                <c:formatCode>[$$-409]#,##0</c:formatCode>
                <c:ptCount val="6"/>
                <c:pt idx="0">
                  <c:v>114.3</c:v>
                </c:pt>
                <c:pt idx="1">
                  <c:v>517.8125</c:v>
                </c:pt>
                <c:pt idx="2">
                  <c:v>800.48780487804879</c:v>
                </c:pt>
                <c:pt idx="3">
                  <c:v>705.625</c:v>
                </c:pt>
                <c:pt idx="4">
                  <c:v>948.57142857142856</c:v>
                </c:pt>
                <c:pt idx="5">
                  <c:v>362.08333333333331</c:v>
                </c:pt>
              </c:numCache>
            </c:numRef>
          </c:val>
          <c:smooth val="0"/>
          <c:extLst>
            <c:ext xmlns:c16="http://schemas.microsoft.com/office/drawing/2014/chart" uri="{C3380CC4-5D6E-409C-BE32-E72D297353CC}">
              <c16:uniqueId val="{00000002-28A6-448C-89E4-19CB1AC4AC82}"/>
            </c:ext>
          </c:extLst>
        </c:ser>
        <c:dLbls>
          <c:dLblPos val="ctr"/>
          <c:showLegendKey val="0"/>
          <c:showVal val="1"/>
          <c:showCatName val="0"/>
          <c:showSerName val="0"/>
          <c:showPercent val="0"/>
          <c:showBubbleSize val="0"/>
        </c:dLbls>
        <c:marker val="1"/>
        <c:smooth val="0"/>
        <c:axId val="1963517072"/>
        <c:axId val="1963514160"/>
      </c:lineChart>
      <c:catAx>
        <c:axId val="2055905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055895520"/>
        <c:crosses val="autoZero"/>
        <c:auto val="1"/>
        <c:lblAlgn val="ctr"/>
        <c:lblOffset val="100"/>
        <c:noMultiLvlLbl val="0"/>
      </c:catAx>
      <c:valAx>
        <c:axId val="20558955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a:t>Population</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055905504"/>
        <c:crosses val="autoZero"/>
        <c:crossBetween val="between"/>
      </c:valAx>
      <c:valAx>
        <c:axId val="1963514160"/>
        <c:scaling>
          <c:orientation val="minMax"/>
        </c:scaling>
        <c:delete val="0"/>
        <c:axPos val="r"/>
        <c:numFmt formatCode="[$$-409]#,##0"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963517072"/>
        <c:crosses val="max"/>
        <c:crossBetween val="between"/>
      </c:valAx>
      <c:catAx>
        <c:axId val="1963517072"/>
        <c:scaling>
          <c:orientation val="minMax"/>
        </c:scaling>
        <c:delete val="1"/>
        <c:axPos val="b"/>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a:t>Continent</a:t>
                </a:r>
              </a:p>
            </c:rich>
          </c:tx>
          <c:layout>
            <c:manualLayout>
              <c:xMode val="edge"/>
              <c:yMode val="edge"/>
              <c:x val="0.38560763540921023"/>
              <c:y val="0.87420215330226581"/>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crossAx val="196351416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85725</xdr:colOff>
      <xdr:row>0</xdr:row>
      <xdr:rowOff>38100</xdr:rowOff>
    </xdr:from>
    <xdr:to>
      <xdr:col>6</xdr:col>
      <xdr:colOff>2457450</xdr:colOff>
      <xdr:row>4</xdr:row>
      <xdr:rowOff>109085</xdr:rowOff>
    </xdr:to>
    <xdr:sp macro="" textlink="">
      <xdr:nvSpPr>
        <xdr:cNvPr id="2" name="Rounded Rectangle 1"/>
        <xdr:cNvSpPr/>
      </xdr:nvSpPr>
      <xdr:spPr>
        <a:xfrm>
          <a:off x="1714500" y="38100"/>
          <a:ext cx="7905750" cy="1099685"/>
        </a:xfrm>
        <a:prstGeom prst="roundRect">
          <a:avLst/>
        </a:prstGeom>
        <a:solidFill>
          <a:schemeClr val="tx2">
            <a:lumMod val="50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2000">
              <a:solidFill>
                <a:schemeClr val="bg1"/>
              </a:solidFill>
            </a:rPr>
            <a:t>GLOBAL</a:t>
          </a:r>
          <a:r>
            <a:rPr lang="en-GB" sz="2000" baseline="0">
              <a:solidFill>
                <a:schemeClr val="bg1"/>
              </a:solidFill>
            </a:rPr>
            <a:t> SOCIOECONOMIC PERFORMANCE DASHBOARD </a:t>
          </a:r>
        </a:p>
        <a:p>
          <a:pPr algn="l"/>
          <a:r>
            <a:rPr lang="en-GB" sz="900" b="1" baseline="0">
              <a:solidFill>
                <a:schemeClr val="tx1">
                  <a:lumMod val="75000"/>
                  <a:lumOff val="25000"/>
                </a:schemeClr>
              </a:solidFill>
            </a:rPr>
            <a:t>Figures in USD</a:t>
          </a:r>
          <a:endParaRPr lang="en-GB" sz="900" b="1">
            <a:solidFill>
              <a:schemeClr val="tx1">
                <a:lumMod val="75000"/>
                <a:lumOff val="25000"/>
              </a:schemeClr>
            </a:solidFill>
          </a:endParaRPr>
        </a:p>
      </xdr:txBody>
    </xdr:sp>
    <xdr:clientData/>
  </xdr:twoCellAnchor>
  <xdr:twoCellAnchor>
    <xdr:from>
      <xdr:col>1</xdr:col>
      <xdr:colOff>85725</xdr:colOff>
      <xdr:row>4</xdr:row>
      <xdr:rowOff>123825</xdr:rowOff>
    </xdr:from>
    <xdr:to>
      <xdr:col>2</xdr:col>
      <xdr:colOff>1562100</xdr:colOff>
      <xdr:row>7</xdr:row>
      <xdr:rowOff>237220</xdr:rowOff>
    </xdr:to>
    <xdr:sp macro="" textlink="">
      <xdr:nvSpPr>
        <xdr:cNvPr id="3" name="Rounded Rectangle 2"/>
        <xdr:cNvSpPr/>
      </xdr:nvSpPr>
      <xdr:spPr>
        <a:xfrm>
          <a:off x="1714500" y="1152525"/>
          <a:ext cx="1657350" cy="894445"/>
        </a:xfrm>
        <a:prstGeom prst="roundRect">
          <a:avLst/>
        </a:prstGeom>
        <a:solidFill>
          <a:schemeClr val="tx2">
            <a:lumMod val="60000"/>
            <a:lumOff val="40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000">
              <a:latin typeface="Times New Roman" panose="02020603050405020304" pitchFamily="18" charset="0"/>
              <a:cs typeface="Times New Roman" panose="02020603050405020304" pitchFamily="18" charset="0"/>
            </a:rPr>
            <a:t>AVG POPULATION</a:t>
          </a:r>
        </a:p>
      </xdr:txBody>
    </xdr:sp>
    <xdr:clientData/>
  </xdr:twoCellAnchor>
  <xdr:twoCellAnchor editAs="oneCell">
    <xdr:from>
      <xdr:col>6</xdr:col>
      <xdr:colOff>1095374</xdr:colOff>
      <xdr:row>0</xdr:row>
      <xdr:rowOff>134938</xdr:rowOff>
    </xdr:from>
    <xdr:to>
      <xdr:col>6</xdr:col>
      <xdr:colOff>2200275</xdr:colOff>
      <xdr:row>4</xdr:row>
      <xdr:rowOff>31749</xdr:rowOff>
    </xdr:to>
    <xdr:pic>
      <xdr:nvPicPr>
        <xdr:cNvPr id="7" name="Picture 6"/>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620124" y="134938"/>
          <a:ext cx="1104901" cy="920749"/>
        </a:xfrm>
        <a:prstGeom prst="rect">
          <a:avLst/>
        </a:prstGeom>
      </xdr:spPr>
    </xdr:pic>
    <xdr:clientData/>
  </xdr:twoCellAnchor>
  <xdr:twoCellAnchor editAs="oneCell">
    <xdr:from>
      <xdr:col>0</xdr:col>
      <xdr:colOff>114300</xdr:colOff>
      <xdr:row>0</xdr:row>
      <xdr:rowOff>114300</xdr:rowOff>
    </xdr:from>
    <xdr:to>
      <xdr:col>0</xdr:col>
      <xdr:colOff>1562100</xdr:colOff>
      <xdr:row>4</xdr:row>
      <xdr:rowOff>200025</xdr:rowOff>
    </xdr:to>
    <xdr:pic>
      <xdr:nvPicPr>
        <xdr:cNvPr id="8" name="Picture 7"/>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300" y="114300"/>
          <a:ext cx="1447800" cy="1114425"/>
        </a:xfrm>
        <a:prstGeom prst="rect">
          <a:avLst/>
        </a:prstGeom>
      </xdr:spPr>
    </xdr:pic>
    <xdr:clientData/>
  </xdr:twoCellAnchor>
  <xdr:twoCellAnchor>
    <xdr:from>
      <xdr:col>3</xdr:col>
      <xdr:colOff>76200</xdr:colOff>
      <xdr:row>4</xdr:row>
      <xdr:rowOff>133350</xdr:rowOff>
    </xdr:from>
    <xdr:to>
      <xdr:col>4</xdr:col>
      <xdr:colOff>76200</xdr:colOff>
      <xdr:row>8</xdr:row>
      <xdr:rowOff>8620</xdr:rowOff>
    </xdr:to>
    <xdr:sp macro="" textlink="">
      <xdr:nvSpPr>
        <xdr:cNvPr id="15" name="Rounded Rectangle 14"/>
        <xdr:cNvSpPr/>
      </xdr:nvSpPr>
      <xdr:spPr>
        <a:xfrm>
          <a:off x="3533775" y="1162050"/>
          <a:ext cx="1647825" cy="923020"/>
        </a:xfrm>
        <a:prstGeom prst="roundRect">
          <a:avLst/>
        </a:prstGeom>
        <a:solidFill>
          <a:schemeClr val="tx2">
            <a:lumMod val="60000"/>
            <a:lumOff val="40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900">
              <a:latin typeface="Times New Roman" panose="02020603050405020304" pitchFamily="18" charset="0"/>
              <a:cs typeface="Times New Roman" panose="02020603050405020304" pitchFamily="18" charset="0"/>
            </a:rPr>
            <a:t>AVG</a:t>
          </a:r>
          <a:r>
            <a:rPr lang="en-GB" sz="900" baseline="0">
              <a:latin typeface="Times New Roman" panose="02020603050405020304" pitchFamily="18" charset="0"/>
              <a:cs typeface="Times New Roman" panose="02020603050405020304" pitchFamily="18" charset="0"/>
            </a:rPr>
            <a:t> OF AVG MONTHLY SALARY</a:t>
          </a:r>
          <a:endParaRPr lang="en-GB" sz="900">
            <a:latin typeface="Times New Roman" panose="02020603050405020304" pitchFamily="18" charset="0"/>
            <a:cs typeface="Times New Roman" panose="02020603050405020304" pitchFamily="18" charset="0"/>
          </a:endParaRPr>
        </a:p>
      </xdr:txBody>
    </xdr:sp>
    <xdr:clientData/>
  </xdr:twoCellAnchor>
  <xdr:twoCellAnchor>
    <xdr:from>
      <xdr:col>4</xdr:col>
      <xdr:colOff>514350</xdr:colOff>
      <xdr:row>4</xdr:row>
      <xdr:rowOff>133350</xdr:rowOff>
    </xdr:from>
    <xdr:to>
      <xdr:col>6</xdr:col>
      <xdr:colOff>0</xdr:colOff>
      <xdr:row>8</xdr:row>
      <xdr:rowOff>9525</xdr:rowOff>
    </xdr:to>
    <xdr:sp macro="" textlink="">
      <xdr:nvSpPr>
        <xdr:cNvPr id="16" name="Rounded Rectangle 15"/>
        <xdr:cNvSpPr/>
      </xdr:nvSpPr>
      <xdr:spPr>
        <a:xfrm>
          <a:off x="5619750" y="1162050"/>
          <a:ext cx="1895475" cy="923925"/>
        </a:xfrm>
        <a:prstGeom prst="roundRect">
          <a:avLst/>
        </a:prstGeom>
        <a:solidFill>
          <a:schemeClr val="tx2">
            <a:lumMod val="60000"/>
            <a:lumOff val="40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900">
              <a:latin typeface="Times New Roman" panose="02020603050405020304" pitchFamily="18" charset="0"/>
              <a:cs typeface="Times New Roman" panose="02020603050405020304" pitchFamily="18" charset="0"/>
            </a:rPr>
            <a:t>AVG</a:t>
          </a:r>
          <a:r>
            <a:rPr lang="en-GB" sz="1100"/>
            <a:t> </a:t>
          </a:r>
          <a:r>
            <a:rPr lang="en-GB" sz="900">
              <a:latin typeface="Times New Roman" panose="02020603050405020304" pitchFamily="18" charset="0"/>
              <a:cs typeface="Times New Roman" panose="02020603050405020304" pitchFamily="18" charset="0"/>
            </a:rPr>
            <a:t>MONTHLY</a:t>
          </a:r>
          <a:r>
            <a:rPr lang="en-GB" sz="900" baseline="0">
              <a:latin typeface="Times New Roman" panose="02020603050405020304" pitchFamily="18" charset="0"/>
              <a:cs typeface="Times New Roman" panose="02020603050405020304" pitchFamily="18" charset="0"/>
            </a:rPr>
            <a:t> WAGE</a:t>
          </a:r>
          <a:endParaRPr lang="en-GB" sz="900">
            <a:latin typeface="Times New Roman" panose="02020603050405020304" pitchFamily="18" charset="0"/>
            <a:cs typeface="Times New Roman" panose="02020603050405020304" pitchFamily="18" charset="0"/>
          </a:endParaRPr>
        </a:p>
      </xdr:txBody>
    </xdr:sp>
    <xdr:clientData/>
  </xdr:twoCellAnchor>
  <xdr:twoCellAnchor>
    <xdr:from>
      <xdr:col>6</xdr:col>
      <xdr:colOff>200026</xdr:colOff>
      <xdr:row>4</xdr:row>
      <xdr:rowOff>123825</xdr:rowOff>
    </xdr:from>
    <xdr:to>
      <xdr:col>6</xdr:col>
      <xdr:colOff>2257426</xdr:colOff>
      <xdr:row>8</xdr:row>
      <xdr:rowOff>19050</xdr:rowOff>
    </xdr:to>
    <xdr:sp macro="" textlink="">
      <xdr:nvSpPr>
        <xdr:cNvPr id="17" name="Rounded Rectangle 16"/>
        <xdr:cNvSpPr/>
      </xdr:nvSpPr>
      <xdr:spPr>
        <a:xfrm>
          <a:off x="7715251" y="1152525"/>
          <a:ext cx="2057400" cy="942975"/>
        </a:xfrm>
        <a:prstGeom prst="roundRect">
          <a:avLst/>
        </a:prstGeom>
        <a:solidFill>
          <a:schemeClr val="tx2">
            <a:lumMod val="60000"/>
            <a:lumOff val="40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000">
              <a:latin typeface="Times New Roman" panose="02020603050405020304" pitchFamily="18" charset="0"/>
              <a:cs typeface="Times New Roman" panose="02020603050405020304" pitchFamily="18" charset="0"/>
            </a:rPr>
            <a:t>AVG GDP</a:t>
          </a:r>
          <a:r>
            <a:rPr lang="en-GB" sz="1000" baseline="0">
              <a:latin typeface="Times New Roman" panose="02020603050405020304" pitchFamily="18" charset="0"/>
              <a:cs typeface="Times New Roman" panose="02020603050405020304" pitchFamily="18" charset="0"/>
            </a:rPr>
            <a:t> PER </a:t>
          </a:r>
          <a:r>
            <a:rPr lang="en-GB" sz="1000">
              <a:latin typeface="Times New Roman" panose="02020603050405020304" pitchFamily="18" charset="0"/>
              <a:cs typeface="Times New Roman" panose="02020603050405020304" pitchFamily="18" charset="0"/>
            </a:rPr>
            <a:t>CAPITA</a:t>
          </a:r>
        </a:p>
      </xdr:txBody>
    </xdr:sp>
    <xdr:clientData/>
  </xdr:twoCellAnchor>
  <xdr:twoCellAnchor>
    <xdr:from>
      <xdr:col>2</xdr:col>
      <xdr:colOff>209550</xdr:colOff>
      <xdr:row>5</xdr:row>
      <xdr:rowOff>171450</xdr:rowOff>
    </xdr:from>
    <xdr:to>
      <xdr:col>3</xdr:col>
      <xdr:colOff>114300</xdr:colOff>
      <xdr:row>7</xdr:row>
      <xdr:rowOff>171450</xdr:rowOff>
    </xdr:to>
    <xdr:sp macro="" textlink="PivotTable!A2">
      <xdr:nvSpPr>
        <xdr:cNvPr id="19" name="TextBox 18"/>
        <xdr:cNvSpPr txBox="1"/>
      </xdr:nvSpPr>
      <xdr:spPr>
        <a:xfrm>
          <a:off x="2019300" y="1447800"/>
          <a:ext cx="1552575"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25D9F83-6FB9-4235-85A5-29CD1776C501}" type="TxLink">
            <a:rPr lang="en-US" sz="1400" b="0" i="0" u="none" strike="noStrike">
              <a:solidFill>
                <a:schemeClr val="bg1">
                  <a:lumMod val="95000"/>
                </a:schemeClr>
              </a:solidFill>
              <a:latin typeface="Times New Roman" panose="02020603050405020304" pitchFamily="18" charset="0"/>
              <a:cs typeface="Times New Roman" panose="02020603050405020304" pitchFamily="18" charset="0"/>
            </a:rPr>
            <a:pPr/>
            <a:t>43,969,368</a:t>
          </a:fld>
          <a:endParaRPr lang="en-GB" sz="1400">
            <a:solidFill>
              <a:schemeClr val="bg1">
                <a:lumMod val="95000"/>
              </a:schemeClr>
            </a:solidFill>
            <a:latin typeface="Times New Roman" panose="02020603050405020304" pitchFamily="18" charset="0"/>
            <a:cs typeface="Times New Roman" panose="02020603050405020304" pitchFamily="18" charset="0"/>
          </a:endParaRPr>
        </a:p>
      </xdr:txBody>
    </xdr:sp>
    <xdr:clientData/>
  </xdr:twoCellAnchor>
  <xdr:twoCellAnchor>
    <xdr:from>
      <xdr:col>3</xdr:col>
      <xdr:colOff>542925</xdr:colOff>
      <xdr:row>5</xdr:row>
      <xdr:rowOff>209550</xdr:rowOff>
    </xdr:from>
    <xdr:to>
      <xdr:col>5</xdr:col>
      <xdr:colOff>200025</xdr:colOff>
      <xdr:row>7</xdr:row>
      <xdr:rowOff>209550</xdr:rowOff>
    </xdr:to>
    <xdr:sp macro="" textlink="PivotTable!B2">
      <xdr:nvSpPr>
        <xdr:cNvPr id="21" name="TextBox 20"/>
        <xdr:cNvSpPr txBox="1"/>
      </xdr:nvSpPr>
      <xdr:spPr>
        <a:xfrm>
          <a:off x="4000500" y="1485900"/>
          <a:ext cx="1866900"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224E83A-4831-436D-8E33-E82F994AA589}" type="TxLink">
            <a:rPr lang="en-US" sz="1400" b="0" i="0" u="none" strike="noStrike">
              <a:solidFill>
                <a:schemeClr val="bg1">
                  <a:lumMod val="95000"/>
                </a:schemeClr>
              </a:solidFill>
              <a:latin typeface="Times New Roman" panose="02020603050405020304" pitchFamily="18" charset="0"/>
              <a:cs typeface="Times New Roman" panose="02020603050405020304" pitchFamily="18" charset="0"/>
            </a:rPr>
            <a:pPr/>
            <a:t>$1,587</a:t>
          </a:fld>
          <a:endParaRPr lang="en-GB" sz="1400">
            <a:solidFill>
              <a:schemeClr val="bg1">
                <a:lumMod val="95000"/>
              </a:schemeClr>
            </a:solidFill>
            <a:latin typeface="Times New Roman" panose="02020603050405020304" pitchFamily="18" charset="0"/>
            <a:cs typeface="Times New Roman" panose="02020603050405020304" pitchFamily="18" charset="0"/>
          </a:endParaRPr>
        </a:p>
      </xdr:txBody>
    </xdr:sp>
    <xdr:clientData/>
  </xdr:twoCellAnchor>
  <xdr:twoCellAnchor>
    <xdr:from>
      <xdr:col>5</xdr:col>
      <xdr:colOff>657225</xdr:colOff>
      <xdr:row>5</xdr:row>
      <xdr:rowOff>190500</xdr:rowOff>
    </xdr:from>
    <xdr:to>
      <xdr:col>6</xdr:col>
      <xdr:colOff>628650</xdr:colOff>
      <xdr:row>7</xdr:row>
      <xdr:rowOff>190500</xdr:rowOff>
    </xdr:to>
    <xdr:sp macro="" textlink="PivotTable!C2">
      <xdr:nvSpPr>
        <xdr:cNvPr id="22" name="TextBox 21"/>
        <xdr:cNvSpPr txBox="1"/>
      </xdr:nvSpPr>
      <xdr:spPr>
        <a:xfrm>
          <a:off x="6324600" y="1466850"/>
          <a:ext cx="1819275"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ADD927A-01F1-4B00-8759-C74DDCF949B6}" type="TxLink">
            <a:rPr lang="en-US" sz="1400" b="0" i="0" u="none" strike="noStrike">
              <a:solidFill>
                <a:schemeClr val="bg1"/>
              </a:solidFill>
              <a:latin typeface="Times New Roman"/>
              <a:cs typeface="Times New Roman"/>
            </a:rPr>
            <a:pPr/>
            <a:t>$502</a:t>
          </a:fld>
          <a:endParaRPr lang="en-GB" sz="1400">
            <a:solidFill>
              <a:schemeClr val="bg1"/>
            </a:solidFill>
            <a:latin typeface="+mn-lt"/>
          </a:endParaRPr>
        </a:p>
      </xdr:txBody>
    </xdr:sp>
    <xdr:clientData/>
  </xdr:twoCellAnchor>
  <xdr:twoCellAnchor>
    <xdr:from>
      <xdr:col>6</xdr:col>
      <xdr:colOff>914400</xdr:colOff>
      <xdr:row>5</xdr:row>
      <xdr:rowOff>171450</xdr:rowOff>
    </xdr:from>
    <xdr:to>
      <xdr:col>7</xdr:col>
      <xdr:colOff>66675</xdr:colOff>
      <xdr:row>7</xdr:row>
      <xdr:rowOff>171450</xdr:rowOff>
    </xdr:to>
    <xdr:sp macro="" textlink="PivotTable!D2">
      <xdr:nvSpPr>
        <xdr:cNvPr id="23" name="TextBox 22"/>
        <xdr:cNvSpPr txBox="1"/>
      </xdr:nvSpPr>
      <xdr:spPr>
        <a:xfrm>
          <a:off x="8429625" y="1447800"/>
          <a:ext cx="1466850"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D90F678-CFF7-4B70-9D92-76D2F98C7BDE}" type="TxLink">
            <a:rPr lang="en-US" sz="1400" b="0" i="0" u="none" strike="noStrike">
              <a:solidFill>
                <a:schemeClr val="bg1"/>
              </a:solidFill>
              <a:latin typeface="Times New Roman"/>
              <a:cs typeface="Times New Roman"/>
            </a:rPr>
            <a:pPr/>
            <a:t>$23,753</a:t>
          </a:fld>
          <a:endParaRPr lang="en-GB" sz="1400">
            <a:solidFill>
              <a:schemeClr val="bg1"/>
            </a:solidFill>
            <a:latin typeface="+mn-lt"/>
          </a:endParaRPr>
        </a:p>
      </xdr:txBody>
    </xdr:sp>
    <xdr:clientData/>
  </xdr:twoCellAnchor>
  <xdr:twoCellAnchor editAs="oneCell">
    <xdr:from>
      <xdr:col>0</xdr:col>
      <xdr:colOff>85726</xdr:colOff>
      <xdr:row>4</xdr:row>
      <xdr:rowOff>228601</xdr:rowOff>
    </xdr:from>
    <xdr:to>
      <xdr:col>0</xdr:col>
      <xdr:colOff>1552576</xdr:colOff>
      <xdr:row>12</xdr:row>
      <xdr:rowOff>190500</xdr:rowOff>
    </xdr:to>
    <mc:AlternateContent xmlns:mc="http://schemas.openxmlformats.org/markup-compatibility/2006" xmlns:a14="http://schemas.microsoft.com/office/drawing/2010/main">
      <mc:Choice Requires="a14">
        <xdr:graphicFrame macro="">
          <xdr:nvGraphicFramePr>
            <xdr:cNvPr id="14" name="Continent"/>
            <xdr:cNvGraphicFramePr/>
          </xdr:nvGraphicFramePr>
          <xdr:xfrm>
            <a:off x="0" y="0"/>
            <a:ext cx="0" cy="0"/>
          </xdr:xfrm>
          <a:graphic>
            <a:graphicData uri="http://schemas.microsoft.com/office/drawing/2010/slicer">
              <sle:slicer xmlns:sle="http://schemas.microsoft.com/office/drawing/2010/slicer" name="Continent"/>
            </a:graphicData>
          </a:graphic>
        </xdr:graphicFrame>
      </mc:Choice>
      <mc:Fallback xmlns="">
        <xdr:sp macro="" textlink="">
          <xdr:nvSpPr>
            <xdr:cNvPr id="0" name=""/>
            <xdr:cNvSpPr>
              <a:spLocks noTextEdit="1"/>
            </xdr:cNvSpPr>
          </xdr:nvSpPr>
          <xdr:spPr>
            <a:xfrm>
              <a:off x="85726" y="1257301"/>
              <a:ext cx="1466850" cy="192404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12</xdr:row>
      <xdr:rowOff>209551</xdr:rowOff>
    </xdr:from>
    <xdr:to>
      <xdr:col>0</xdr:col>
      <xdr:colOff>1562100</xdr:colOff>
      <xdr:row>18</xdr:row>
      <xdr:rowOff>57151</xdr:rowOff>
    </xdr:to>
    <mc:AlternateContent xmlns:mc="http://schemas.openxmlformats.org/markup-compatibility/2006" xmlns:a14="http://schemas.microsoft.com/office/drawing/2010/main">
      <mc:Choice Requires="a14">
        <xdr:graphicFrame macro="">
          <xdr:nvGraphicFramePr>
            <xdr:cNvPr id="20" name="Development Level"/>
            <xdr:cNvGraphicFramePr/>
          </xdr:nvGraphicFramePr>
          <xdr:xfrm>
            <a:off x="0" y="0"/>
            <a:ext cx="0" cy="0"/>
          </xdr:xfrm>
          <a:graphic>
            <a:graphicData uri="http://schemas.microsoft.com/office/drawing/2010/slicer">
              <sle:slicer xmlns:sle="http://schemas.microsoft.com/office/drawing/2010/slicer" name="Development Level"/>
            </a:graphicData>
          </a:graphic>
        </xdr:graphicFrame>
      </mc:Choice>
      <mc:Fallback xmlns="">
        <xdr:sp macro="" textlink="">
          <xdr:nvSpPr>
            <xdr:cNvPr id="0" name=""/>
            <xdr:cNvSpPr>
              <a:spLocks noTextEdit="1"/>
            </xdr:cNvSpPr>
          </xdr:nvSpPr>
          <xdr:spPr>
            <a:xfrm>
              <a:off x="76200" y="3200401"/>
              <a:ext cx="1485900" cy="14478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76199</xdr:colOff>
      <xdr:row>18</xdr:row>
      <xdr:rowOff>95250</xdr:rowOff>
    </xdr:from>
    <xdr:to>
      <xdr:col>0</xdr:col>
      <xdr:colOff>1552574</xdr:colOff>
      <xdr:row>23</xdr:row>
      <xdr:rowOff>161925</xdr:rowOff>
    </xdr:to>
    <mc:AlternateContent xmlns:mc="http://schemas.openxmlformats.org/markup-compatibility/2006" xmlns:a14="http://schemas.microsoft.com/office/drawing/2010/main">
      <mc:Choice Requires="a14">
        <xdr:graphicFrame macro="">
          <xdr:nvGraphicFramePr>
            <xdr:cNvPr id="24" name="Unemployment Level"/>
            <xdr:cNvGraphicFramePr/>
          </xdr:nvGraphicFramePr>
          <xdr:xfrm>
            <a:off x="0" y="0"/>
            <a:ext cx="0" cy="0"/>
          </xdr:xfrm>
          <a:graphic>
            <a:graphicData uri="http://schemas.microsoft.com/office/drawing/2010/slicer">
              <sle:slicer xmlns:sle="http://schemas.microsoft.com/office/drawing/2010/slicer" name="Unemployment Level"/>
            </a:graphicData>
          </a:graphic>
        </xdr:graphicFrame>
      </mc:Choice>
      <mc:Fallback xmlns="">
        <xdr:sp macro="" textlink="">
          <xdr:nvSpPr>
            <xdr:cNvPr id="0" name=""/>
            <xdr:cNvSpPr>
              <a:spLocks noTextEdit="1"/>
            </xdr:cNvSpPr>
          </xdr:nvSpPr>
          <xdr:spPr>
            <a:xfrm>
              <a:off x="76199" y="4686300"/>
              <a:ext cx="1476375" cy="14001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57150</xdr:colOff>
      <xdr:row>23</xdr:row>
      <xdr:rowOff>200026</xdr:rowOff>
    </xdr:from>
    <xdr:to>
      <xdr:col>0</xdr:col>
      <xdr:colOff>1562100</xdr:colOff>
      <xdr:row>29</xdr:row>
      <xdr:rowOff>219076</xdr:rowOff>
    </xdr:to>
    <mc:AlternateContent xmlns:mc="http://schemas.openxmlformats.org/markup-compatibility/2006" xmlns:a14="http://schemas.microsoft.com/office/drawing/2010/main">
      <mc:Choice Requires="a14">
        <xdr:graphicFrame macro="">
          <xdr:nvGraphicFramePr>
            <xdr:cNvPr id="26" name="Wage Rating"/>
            <xdr:cNvGraphicFramePr/>
          </xdr:nvGraphicFramePr>
          <xdr:xfrm>
            <a:off x="0" y="0"/>
            <a:ext cx="0" cy="0"/>
          </xdr:xfrm>
          <a:graphic>
            <a:graphicData uri="http://schemas.microsoft.com/office/drawing/2010/slicer">
              <sle:slicer xmlns:sle="http://schemas.microsoft.com/office/drawing/2010/slicer" name="Wage Rating"/>
            </a:graphicData>
          </a:graphic>
        </xdr:graphicFrame>
      </mc:Choice>
      <mc:Fallback xmlns="">
        <xdr:sp macro="" textlink="">
          <xdr:nvSpPr>
            <xdr:cNvPr id="0" name=""/>
            <xdr:cNvSpPr>
              <a:spLocks noTextEdit="1"/>
            </xdr:cNvSpPr>
          </xdr:nvSpPr>
          <xdr:spPr>
            <a:xfrm>
              <a:off x="57150" y="6124576"/>
              <a:ext cx="1504950" cy="16192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0</xdr:colOff>
      <xdr:row>16</xdr:row>
      <xdr:rowOff>0</xdr:rowOff>
    </xdr:from>
    <xdr:to>
      <xdr:col>6</xdr:col>
      <xdr:colOff>2505075</xdr:colOff>
      <xdr:row>31</xdr:row>
      <xdr:rowOff>161925</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151.040143055558" createdVersion="6" refreshedVersion="6" minRefreshableVersion="3" recordCount="182">
  <cacheSource type="worksheet">
    <worksheetSource name="Table_Easy_sorting6"/>
  </cacheSource>
  <cacheFields count="16">
    <cacheField name="Country" numFmtId="49">
      <sharedItems count="182">
        <s v="Australia"/>
        <s v="Canada"/>
        <s v="Luxembourg"/>
        <s v="New Zealand"/>
        <s v="Germany"/>
        <s v="Belgium"/>
        <s v="Ireland"/>
        <s v="Netherlands"/>
        <s v="United Kingdom"/>
        <s v="Bermuda"/>
        <s v="France"/>
        <s v="Singapore"/>
        <s v="Israel"/>
        <s v="Korea (South)"/>
        <s v="Andorra"/>
        <s v="Cayman Islands"/>
        <s v="Kuwait"/>
        <s v="Qatar"/>
        <s v="Japan"/>
        <s v="Saudi Arabia"/>
        <s v="United Arab Emirates"/>
        <s v="United States"/>
        <s v="American Samoa"/>
        <s v="Spain"/>
        <s v="Oman"/>
        <s v="Slovenia"/>
        <s v="Anguilla"/>
        <s v="Bahrain"/>
        <s v="Cyprus"/>
        <s v="Estonia"/>
        <s v="Malta"/>
        <s v="Portugal"/>
        <s v="Greece"/>
        <s v="Poland"/>
        <s v="Aruba"/>
        <s v="Bahamas"/>
        <s v="Brunei"/>
        <s v="Croatia"/>
        <s v="Czech Republic"/>
        <s v="Hong Kong"/>
        <s v="Lithuania"/>
        <s v="Romania"/>
        <s v="Slovakia"/>
        <s v="Taiwan"/>
        <s v="Hungary"/>
        <s v="Latvia"/>
        <s v="Barbados"/>
        <s v="Costa Rica"/>
        <s v="Panama"/>
        <s v="Trinidad &amp; Tobago"/>
        <s v="Antigua &amp; Barbuda"/>
        <s v="Bulgaria"/>
        <s v="Turkey"/>
        <s v="Uruguay"/>
        <s v="Chile"/>
        <s v="Grenada"/>
        <s v="Guyana"/>
        <s v="Maldives"/>
        <s v="Serbia"/>
        <s v="Ecuador"/>
        <s v="Guatemala"/>
        <s v="Mauritius"/>
        <s v="Peru"/>
        <s v="Bosnia &amp; Herzegovina"/>
        <s v="Dominica"/>
        <s v="Dominican Republic"/>
        <s v="Malaysia"/>
        <s v="Mexico"/>
        <s v="West Bank"/>
        <s v="El Salvador"/>
        <s v="Belize"/>
        <s v="Bolivia"/>
        <s v="China"/>
        <s v="Colombia"/>
        <s v="Honduras"/>
        <s v="Albania"/>
        <s v="Jordan"/>
        <s v="Morocco"/>
        <s v="Armenia"/>
        <s v="Botswana"/>
        <s v="Cook Islands"/>
        <s v="Georgia"/>
        <s v="Iraq"/>
        <s v="Jamaica"/>
        <s v="Libya"/>
        <s v="Paraguay"/>
        <s v="Russia"/>
        <s v="Suriname"/>
        <s v="Brazil"/>
        <s v="Belarus"/>
        <s v="Cape Verde"/>
        <s v="Gabon"/>
        <s v="Kazakhstan"/>
        <s v="Moldova"/>
        <s v="Mongolia"/>
        <s v="South Africa"/>
        <s v="Thailand"/>
        <s v="Tunisia"/>
        <s v="Argentina"/>
        <s v="Azerbaijan"/>
        <s v="Cambodia"/>
        <s v="Djibouti"/>
        <s v="Equatorial Guinea"/>
        <s v="Indonesia"/>
        <s v="Iran"/>
        <s v="Kyrgyzstan"/>
        <s v="Namibia"/>
        <s v="Nicaragua"/>
        <s v="Turkmenistan"/>
        <s v="Ukraine"/>
        <s v="Laos"/>
        <s v="Philippines"/>
        <s v="Vietnam"/>
        <s v="Algeria"/>
        <s v="Bhutan"/>
        <s v="East Timor"/>
        <s v="Lesotho"/>
        <s v="Pakistan"/>
        <s v="Kenya"/>
        <s v="Congo (Republic)"/>
        <s v="Egypt"/>
        <s v="Fiji"/>
        <s v="Haiti"/>
        <s v="Kiribati"/>
        <s v="Nepal"/>
        <s v="Sri Lanka"/>
        <s v="Uzbekistan"/>
        <s v="India"/>
        <s v="Papua New Guinea"/>
        <s v="Zimbabwe"/>
        <s v="Cote D'Ivoire"/>
        <s v="Liberia"/>
        <s v="Senegal"/>
        <s v="Benin"/>
        <s v="Ghana"/>
        <s v="Rwanda"/>
        <s v="Zambia"/>
        <s v="Bangladesh"/>
        <s v="Cameroon"/>
        <s v="Angola"/>
        <s v="Burkina Faso"/>
        <s v="Guinea"/>
        <s v="Mali"/>
        <s v="Tanzania"/>
        <s v="Burma (Myanmar)"/>
        <s v="Comoros"/>
        <s v="Congo (Democratic Republic)"/>
        <s v="Ethiopia"/>
        <s v="Gambia"/>
        <s v="Guinea-Bissau"/>
        <s v="Madagascar"/>
        <s v="Mozambique"/>
        <s v="Sierra Leone"/>
        <s v="Togo"/>
        <s v="Uganda"/>
        <s v="Afghanistan"/>
        <s v="Chad"/>
        <s v="Cuba"/>
        <s v="Eritrea"/>
        <s v="Lebanon"/>
        <s v="Malawi"/>
        <s v="Niger"/>
        <s v="Nigeria"/>
        <s v="Central African Republic"/>
        <s v="Sudan"/>
        <s v="Burundi"/>
        <s v="Yemen"/>
        <s v="Syria"/>
        <s v="Venezuela"/>
        <s v="Austria"/>
        <s v="Denmark"/>
        <s v="Finland"/>
        <s v="Iceland"/>
        <s v="Italy"/>
        <s v="Korea (North)"/>
        <s v="Liechtenstein"/>
        <s v="Monaco"/>
        <s v="Norway"/>
        <s v="Somalia"/>
        <s v="Sweden"/>
        <s v="Switzerland"/>
        <s v="Western Sahara"/>
      </sharedItems>
    </cacheField>
    <cacheField name="Continent" numFmtId="49">
      <sharedItems count="6">
        <s v="Oceania"/>
        <s v="North America"/>
        <s v="Europe"/>
        <s v="Asia"/>
        <s v="South America"/>
        <s v="Africa"/>
      </sharedItems>
    </cacheField>
    <cacheField name="Subregion" numFmtId="49">
      <sharedItems count="22">
        <s v="Australia &amp; New Zealand"/>
        <s v="Northern America"/>
        <s v="Western Europe"/>
        <s v="Northern Europe"/>
        <s v="Caribbean"/>
        <s v="Southeast Asia"/>
        <s v="Western Asia"/>
        <s v="East Asia"/>
        <s v="Southern Europe"/>
        <s v="Polynesia"/>
        <s v="Eastern Europe"/>
        <s v="Central America"/>
        <s v="South America"/>
        <s v="South Asia"/>
        <s v="East Africa"/>
        <s v="North Africa"/>
        <s v="Southern Africa"/>
        <s v="West Africa"/>
        <s v="Central Africa"/>
        <s v="Central Asia"/>
        <s v="Melanesia"/>
        <s v="Micronesia"/>
      </sharedItems>
    </cacheField>
    <cacheField name="Development Level" numFmtId="49">
      <sharedItems count="5">
        <s v="Very High Developed"/>
        <s v="Lower Developing"/>
        <s v="Upper Developing"/>
        <s v="High Developed"/>
        <s v="Least Developed"/>
      </sharedItems>
    </cacheField>
    <cacheField name="Unemployment Level" numFmtId="49">
      <sharedItems count="4">
        <s v="Low"/>
        <s v="High"/>
        <s v="Moderate"/>
        <s v="Very High"/>
      </sharedItems>
    </cacheField>
    <cacheField name="Population" numFmtId="1">
      <sharedItems containsSemiMixedTypes="0" containsString="0" containsNumber="1" containsInteger="1" minValue="15000" maxValue="1440000000"/>
    </cacheField>
    <cacheField name="Monthly_wage(USD)" numFmtId="164">
      <sharedItems containsSemiMixedTypes="0" containsString="0" containsNumber="1" containsInteger="1" minValue="0" maxValue="2600"/>
    </cacheField>
    <cacheField name="Wage Rating" numFmtId="49">
      <sharedItems count="5">
        <s v="Very High"/>
        <s v="High"/>
        <s v="Medium"/>
        <s v="Low"/>
        <s v="Very Low"/>
      </sharedItems>
    </cacheField>
    <cacheField name="Average_Monthly_Salary(USD)" numFmtId="164">
      <sharedItems containsSemiMixedTypes="0" containsString="0" containsNumber="1" containsInteger="1" minValue="0" maxValue="7500"/>
    </cacheField>
    <cacheField name="Average Salary Rating" numFmtId="49">
      <sharedItems count="5">
        <s v="Very High"/>
        <s v="High"/>
        <s v="Medium"/>
        <s v="Low"/>
        <s v="Very Low"/>
      </sharedItems>
    </cacheField>
    <cacheField name="Cost of Living Rating" numFmtId="49">
      <sharedItems/>
    </cacheField>
    <cacheField name="Estimated Total Monthly Cost(USD)" numFmtId="164">
      <sharedItems containsSemiMixedTypes="0" containsString="0" containsNumber="1" containsInteger="1" minValue="180" maxValue="5000"/>
    </cacheField>
    <cacheField name="Inflation Rate (%)2025_2026" numFmtId="1">
      <sharedItems containsSemiMixedTypes="0" containsString="0" containsNumber="1" containsInteger="1" minValue="1" maxValue="200"/>
    </cacheField>
    <cacheField name="GDP_Nominal(USD)" numFmtId="164">
      <sharedItems containsSemiMixedTypes="0" containsString="0" containsNumber="1" containsInteger="1" minValue="350000000" maxValue="29000000000000"/>
    </cacheField>
    <cacheField name="Disposable Income" numFmtId="164">
      <sharedItems containsSemiMixedTypes="0" containsString="0" containsNumber="1" containsInteger="1" minValue="-680" maxValue="2500"/>
    </cacheField>
    <cacheField name="GDP per Capita" numFmtId="164">
      <sharedItems containsSemiMixedTypes="0" containsString="0" containsNumber="1" minValue="476.19049999999999" maxValue="205128.20509999999"/>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82">
  <r>
    <x v="0"/>
    <x v="0"/>
    <x v="0"/>
    <x v="0"/>
    <x v="0"/>
    <n v="26000000"/>
    <n v="2600"/>
    <x v="0"/>
    <n v="5000"/>
    <x v="0"/>
    <s v="Very High"/>
    <n v="2800"/>
    <n v="3"/>
    <n v="1800000000000"/>
    <n v="2200"/>
    <n v="69230.769199999995"/>
  </r>
  <r>
    <x v="1"/>
    <x v="1"/>
    <x v="1"/>
    <x v="0"/>
    <x v="0"/>
    <n v="41000000"/>
    <n v="2200"/>
    <x v="0"/>
    <n v="4500"/>
    <x v="0"/>
    <s v="Very High"/>
    <n v="3000"/>
    <n v="3"/>
    <n v="2300000000000"/>
    <n v="1500"/>
    <n v="56097.561000000002"/>
  </r>
  <r>
    <x v="2"/>
    <x v="2"/>
    <x v="2"/>
    <x v="0"/>
    <x v="0"/>
    <n v="660000"/>
    <n v="2200"/>
    <x v="0"/>
    <n v="6000"/>
    <x v="0"/>
    <s v="Very High"/>
    <n v="3500"/>
    <n v="3"/>
    <n v="125000000000"/>
    <n v="2500"/>
    <n v="189393.9394"/>
  </r>
  <r>
    <x v="3"/>
    <x v="0"/>
    <x v="0"/>
    <x v="0"/>
    <x v="0"/>
    <n v="5200000"/>
    <n v="2200"/>
    <x v="0"/>
    <n v="4700"/>
    <x v="0"/>
    <s v="Very High"/>
    <n v="3000"/>
    <n v="3"/>
    <n v="270000000000"/>
    <n v="1700"/>
    <n v="51923.0769"/>
  </r>
  <r>
    <x v="4"/>
    <x v="2"/>
    <x v="2"/>
    <x v="0"/>
    <x v="0"/>
    <n v="84000000"/>
    <n v="2100"/>
    <x v="0"/>
    <n v="4300"/>
    <x v="0"/>
    <s v="Very High"/>
    <n v="2900"/>
    <n v="3"/>
    <n v="4600000000000"/>
    <n v="1400"/>
    <n v="54761.904799999997"/>
  </r>
  <r>
    <x v="5"/>
    <x v="2"/>
    <x v="2"/>
    <x v="0"/>
    <x v="0"/>
    <n v="11700000"/>
    <n v="2000"/>
    <x v="0"/>
    <n v="3900"/>
    <x v="0"/>
    <s v="Very High"/>
    <n v="2600"/>
    <n v="3"/>
    <n v="780000000000"/>
    <n v="1300"/>
    <n v="66666.666700000002"/>
  </r>
  <r>
    <x v="6"/>
    <x v="2"/>
    <x v="3"/>
    <x v="0"/>
    <x v="0"/>
    <n v="5300000"/>
    <n v="2000"/>
    <x v="0"/>
    <n v="5200"/>
    <x v="0"/>
    <s v="Very High"/>
    <n v="3000"/>
    <n v="3"/>
    <n v="720000000000"/>
    <n v="2200"/>
    <n v="135849.05660000001"/>
  </r>
  <r>
    <x v="7"/>
    <x v="2"/>
    <x v="2"/>
    <x v="0"/>
    <x v="0"/>
    <n v="17900000"/>
    <n v="2000"/>
    <x v="0"/>
    <n v="4800"/>
    <x v="0"/>
    <s v="Very High"/>
    <n v="3000"/>
    <n v="3"/>
    <n v="1120000000000"/>
    <n v="1800"/>
    <n v="62569.832399999999"/>
  </r>
  <r>
    <x v="8"/>
    <x v="2"/>
    <x v="3"/>
    <x v="0"/>
    <x v="0"/>
    <n v="68000000"/>
    <n v="2000"/>
    <x v="0"/>
    <n v="4700"/>
    <x v="0"/>
    <s v="Very High"/>
    <n v="3200"/>
    <n v="3"/>
    <n v="3100000000000"/>
    <n v="1500"/>
    <n v="45588.2353"/>
  </r>
  <r>
    <x v="9"/>
    <x v="1"/>
    <x v="4"/>
    <x v="0"/>
    <x v="0"/>
    <n v="64000"/>
    <n v="1800"/>
    <x v="0"/>
    <n v="5500"/>
    <x v="0"/>
    <s v="Very High"/>
    <n v="3500"/>
    <n v="3"/>
    <n v="6000000000"/>
    <n v="2000"/>
    <n v="93750"/>
  </r>
  <r>
    <x v="10"/>
    <x v="2"/>
    <x v="2"/>
    <x v="0"/>
    <x v="0"/>
    <n v="68000000"/>
    <n v="1800"/>
    <x v="0"/>
    <n v="3600"/>
    <x v="0"/>
    <s v="Very High"/>
    <n v="2800"/>
    <n v="3"/>
    <n v="3100000000000"/>
    <n v="800"/>
    <n v="45588.2353"/>
  </r>
  <r>
    <x v="11"/>
    <x v="3"/>
    <x v="5"/>
    <x v="0"/>
    <x v="0"/>
    <n v="5900000"/>
    <n v="1800"/>
    <x v="0"/>
    <n v="5500"/>
    <x v="0"/>
    <s v="Very High"/>
    <n v="3500"/>
    <n v="3"/>
    <n v="540000000000"/>
    <n v="2000"/>
    <n v="91525.423699999999"/>
  </r>
  <r>
    <x v="12"/>
    <x v="3"/>
    <x v="6"/>
    <x v="0"/>
    <x v="0"/>
    <n v="9800000"/>
    <n v="1700"/>
    <x v="0"/>
    <n v="4800"/>
    <x v="0"/>
    <s v="Very High"/>
    <n v="3500"/>
    <n v="3"/>
    <n v="610000000000"/>
    <n v="1300"/>
    <n v="62244.898000000001"/>
  </r>
  <r>
    <x v="13"/>
    <x v="3"/>
    <x v="7"/>
    <x v="0"/>
    <x v="0"/>
    <n v="52000000"/>
    <n v="1700"/>
    <x v="0"/>
    <n v="4000"/>
    <x v="0"/>
    <s v="Very High"/>
    <n v="2800"/>
    <n v="3"/>
    <n v="1850000000000"/>
    <n v="1200"/>
    <n v="35576.9231"/>
  </r>
  <r>
    <x v="14"/>
    <x v="2"/>
    <x v="8"/>
    <x v="0"/>
    <x v="0"/>
    <n v="80000"/>
    <n v="1600"/>
    <x v="0"/>
    <n v="3200"/>
    <x v="1"/>
    <s v="Very High"/>
    <n v="2200"/>
    <n v="3"/>
    <n v="3000000000"/>
    <n v="1000"/>
    <n v="37500"/>
  </r>
  <r>
    <x v="15"/>
    <x v="1"/>
    <x v="4"/>
    <x v="0"/>
    <x v="0"/>
    <n v="85000"/>
    <n v="1600"/>
    <x v="0"/>
    <n v="4500"/>
    <x v="0"/>
    <s v="Very High"/>
    <n v="3200"/>
    <n v="3"/>
    <n v="6000000000"/>
    <n v="1300"/>
    <n v="70588.2353"/>
  </r>
  <r>
    <x v="16"/>
    <x v="3"/>
    <x v="6"/>
    <x v="0"/>
    <x v="0"/>
    <n v="4300000"/>
    <n v="1600"/>
    <x v="0"/>
    <n v="4800"/>
    <x v="0"/>
    <s v="High"/>
    <n v="2500"/>
    <n v="2"/>
    <n v="230000000000"/>
    <n v="2300"/>
    <n v="53488.372100000001"/>
  </r>
  <r>
    <x v="17"/>
    <x v="3"/>
    <x v="6"/>
    <x v="0"/>
    <x v="0"/>
    <n v="3000000"/>
    <n v="1600"/>
    <x v="0"/>
    <n v="5000"/>
    <x v="0"/>
    <s v="High"/>
    <n v="2800"/>
    <n v="2"/>
    <n v="250000000000"/>
    <n v="2200"/>
    <n v="83333.333299999998"/>
  </r>
  <r>
    <x v="18"/>
    <x v="3"/>
    <x v="7"/>
    <x v="0"/>
    <x v="0"/>
    <n v="123000000"/>
    <n v="1500"/>
    <x v="0"/>
    <n v="4200"/>
    <x v="0"/>
    <s v="Very High"/>
    <n v="3200"/>
    <n v="3"/>
    <n v="4300000000000"/>
    <n v="1000"/>
    <n v="34959.349600000001"/>
  </r>
  <r>
    <x v="19"/>
    <x v="3"/>
    <x v="6"/>
    <x v="0"/>
    <x v="0"/>
    <n v="36000000"/>
    <n v="1500"/>
    <x v="0"/>
    <n v="4500"/>
    <x v="0"/>
    <s v="Medium"/>
    <n v="2500"/>
    <n v="2"/>
    <n v="1150000000000"/>
    <n v="2000"/>
    <n v="31944.4444"/>
  </r>
  <r>
    <x v="20"/>
    <x v="3"/>
    <x v="6"/>
    <x v="0"/>
    <x v="0"/>
    <n v="10000000"/>
    <n v="1500"/>
    <x v="0"/>
    <n v="5000"/>
    <x v="0"/>
    <s v="High"/>
    <n v="2800"/>
    <n v="2"/>
    <n v="610000000000"/>
    <n v="2200"/>
    <n v="61000"/>
  </r>
  <r>
    <x v="21"/>
    <x v="1"/>
    <x v="1"/>
    <x v="0"/>
    <x v="0"/>
    <n v="340000000"/>
    <n v="1250"/>
    <x v="0"/>
    <n v="5000"/>
    <x v="0"/>
    <s v="Very High"/>
    <n v="3500"/>
    <n v="3"/>
    <n v="29000000000000"/>
    <n v="1500"/>
    <n v="85294.117599999998"/>
  </r>
  <r>
    <x v="22"/>
    <x v="0"/>
    <x v="9"/>
    <x v="1"/>
    <x v="1"/>
    <n v="50000"/>
    <n v="1200"/>
    <x v="1"/>
    <n v="2900"/>
    <x v="1"/>
    <s v="High"/>
    <n v="1800"/>
    <n v="3"/>
    <n v="1000000000"/>
    <n v="1100"/>
    <n v="20000"/>
  </r>
  <r>
    <x v="23"/>
    <x v="2"/>
    <x v="8"/>
    <x v="0"/>
    <x v="0"/>
    <n v="48000000"/>
    <n v="1200"/>
    <x v="0"/>
    <n v="2700"/>
    <x v="0"/>
    <s v="High"/>
    <n v="2200"/>
    <n v="3"/>
    <n v="1750000000000"/>
    <n v="500"/>
    <n v="36458.333299999998"/>
  </r>
  <r>
    <x v="24"/>
    <x v="3"/>
    <x v="6"/>
    <x v="0"/>
    <x v="0"/>
    <n v="5000000"/>
    <n v="1100"/>
    <x v="1"/>
    <n v="3200"/>
    <x v="1"/>
    <s v="Medium"/>
    <n v="2000"/>
    <n v="2"/>
    <n v="130000000000"/>
    <n v="1200"/>
    <n v="26000"/>
  </r>
  <r>
    <x v="25"/>
    <x v="2"/>
    <x v="8"/>
    <x v="0"/>
    <x v="0"/>
    <n v="2100000"/>
    <n v="1100"/>
    <x v="1"/>
    <n v="2400"/>
    <x v="2"/>
    <s v="High"/>
    <n v="1800"/>
    <n v="3"/>
    <n v="78000000000"/>
    <n v="600"/>
    <n v="37142.857100000001"/>
  </r>
  <r>
    <x v="26"/>
    <x v="1"/>
    <x v="4"/>
    <x v="1"/>
    <x v="1"/>
    <n v="15000"/>
    <n v="1000"/>
    <x v="1"/>
    <n v="2600"/>
    <x v="1"/>
    <s v="High"/>
    <n v="2200"/>
    <n v="3"/>
    <n v="1000000000"/>
    <n v="400"/>
    <n v="66666.666700000002"/>
  </r>
  <r>
    <x v="27"/>
    <x v="3"/>
    <x v="6"/>
    <x v="0"/>
    <x v="0"/>
    <n v="1700000"/>
    <n v="1000"/>
    <x v="1"/>
    <n v="3200"/>
    <x v="1"/>
    <s v="High"/>
    <n v="1800"/>
    <n v="2"/>
    <n v="60000000000"/>
    <n v="1400"/>
    <n v="35294.117599999998"/>
  </r>
  <r>
    <x v="28"/>
    <x v="2"/>
    <x v="8"/>
    <x v="0"/>
    <x v="0"/>
    <n v="1300000"/>
    <n v="1000"/>
    <x v="1"/>
    <n v="2600"/>
    <x v="1"/>
    <s v="High"/>
    <n v="1800"/>
    <n v="3"/>
    <n v="50000000000"/>
    <n v="800"/>
    <n v="38461.538500000002"/>
  </r>
  <r>
    <x v="29"/>
    <x v="2"/>
    <x v="3"/>
    <x v="0"/>
    <x v="0"/>
    <n v="1300000"/>
    <n v="1000"/>
    <x v="1"/>
    <n v="2300"/>
    <x v="2"/>
    <s v="High"/>
    <n v="1700"/>
    <n v="4"/>
    <n v="55000000000"/>
    <n v="600"/>
    <n v="42307.692300000002"/>
  </r>
  <r>
    <x v="30"/>
    <x v="2"/>
    <x v="8"/>
    <x v="0"/>
    <x v="0"/>
    <n v="540000"/>
    <n v="1000"/>
    <x v="1"/>
    <n v="2800"/>
    <x v="1"/>
    <s v="High"/>
    <n v="2000"/>
    <n v="3"/>
    <n v="65000000000"/>
    <n v="800"/>
    <n v="120370.3704"/>
  </r>
  <r>
    <x v="31"/>
    <x v="2"/>
    <x v="8"/>
    <x v="0"/>
    <x v="0"/>
    <n v="10200000"/>
    <n v="1000"/>
    <x v="1"/>
    <n v="2200"/>
    <x v="2"/>
    <s v="High"/>
    <n v="1900"/>
    <n v="3"/>
    <n v="310000000000"/>
    <n v="300"/>
    <n v="30392.156900000002"/>
  </r>
  <r>
    <x v="32"/>
    <x v="2"/>
    <x v="8"/>
    <x v="0"/>
    <x v="0"/>
    <n v="10300000"/>
    <n v="950"/>
    <x v="1"/>
    <n v="1800"/>
    <x v="2"/>
    <s v="High"/>
    <n v="1600"/>
    <n v="3"/>
    <n v="290000000000"/>
    <n v="200"/>
    <n v="28155.339800000002"/>
  </r>
  <r>
    <x v="33"/>
    <x v="2"/>
    <x v="10"/>
    <x v="0"/>
    <x v="0"/>
    <n v="37000000"/>
    <n v="950"/>
    <x v="1"/>
    <n v="2300"/>
    <x v="2"/>
    <s v="Medium"/>
    <n v="1600"/>
    <n v="4"/>
    <n v="820000000000"/>
    <n v="700"/>
    <n v="22162.162199999999"/>
  </r>
  <r>
    <x v="34"/>
    <x v="1"/>
    <x v="4"/>
    <x v="2"/>
    <x v="2"/>
    <n v="110000"/>
    <n v="900"/>
    <x v="1"/>
    <n v="2400"/>
    <x v="1"/>
    <s v="Very High"/>
    <n v="2400"/>
    <n v="4"/>
    <n v="4000000000"/>
    <n v="0"/>
    <n v="36363.636400000003"/>
  </r>
  <r>
    <x v="35"/>
    <x v="1"/>
    <x v="4"/>
    <x v="2"/>
    <x v="2"/>
    <n v="400000"/>
    <n v="900"/>
    <x v="1"/>
    <n v="2900"/>
    <x v="1"/>
    <s v="Very High"/>
    <n v="2500"/>
    <n v="4"/>
    <n v="14000000000"/>
    <n v="400"/>
    <n v="35000"/>
  </r>
  <r>
    <x v="36"/>
    <x v="3"/>
    <x v="5"/>
    <x v="0"/>
    <x v="0"/>
    <n v="450000"/>
    <n v="900"/>
    <x v="1"/>
    <n v="3200"/>
    <x v="1"/>
    <s v="Medium"/>
    <n v="1600"/>
    <n v="1"/>
    <n v="16000000000"/>
    <n v="1600"/>
    <n v="35555.5556"/>
  </r>
  <r>
    <x v="37"/>
    <x v="2"/>
    <x v="8"/>
    <x v="0"/>
    <x v="0"/>
    <n v="3800000"/>
    <n v="900"/>
    <x v="1"/>
    <n v="1800"/>
    <x v="2"/>
    <s v="High"/>
    <n v="1400"/>
    <n v="4"/>
    <n v="95000000000"/>
    <n v="400"/>
    <n v="25000"/>
  </r>
  <r>
    <x v="38"/>
    <x v="2"/>
    <x v="10"/>
    <x v="0"/>
    <x v="0"/>
    <n v="10700000"/>
    <n v="900"/>
    <x v="1"/>
    <n v="2100"/>
    <x v="2"/>
    <s v="Medium"/>
    <n v="1600"/>
    <n v="3"/>
    <n v="370000000000"/>
    <n v="500"/>
    <n v="34579.439299999998"/>
  </r>
  <r>
    <x v="39"/>
    <x v="3"/>
    <x v="7"/>
    <x v="0"/>
    <x v="0"/>
    <n v="7500000"/>
    <n v="900"/>
    <x v="1"/>
    <n v="3200"/>
    <x v="1"/>
    <s v="Very High"/>
    <n v="3000"/>
    <n v="2"/>
    <n v="430000000000"/>
    <n v="200"/>
    <n v="57333.333299999998"/>
  </r>
  <r>
    <x v="40"/>
    <x v="2"/>
    <x v="3"/>
    <x v="0"/>
    <x v="0"/>
    <n v="2800000"/>
    <n v="900"/>
    <x v="1"/>
    <n v="2100"/>
    <x v="2"/>
    <s v="Medium"/>
    <n v="1500"/>
    <n v="4"/>
    <n v="90000000000"/>
    <n v="600"/>
    <n v="32142.857100000001"/>
  </r>
  <r>
    <x v="41"/>
    <x v="2"/>
    <x v="10"/>
    <x v="0"/>
    <x v="0"/>
    <n v="19000000"/>
    <n v="900"/>
    <x v="1"/>
    <n v="2000"/>
    <x v="2"/>
    <s v="Medium"/>
    <n v="1400"/>
    <n v="4"/>
    <n v="360000000000"/>
    <n v="600"/>
    <n v="18947.368399999999"/>
  </r>
  <r>
    <x v="42"/>
    <x v="2"/>
    <x v="10"/>
    <x v="0"/>
    <x v="0"/>
    <n v="5400000"/>
    <n v="900"/>
    <x v="1"/>
    <n v="2200"/>
    <x v="2"/>
    <s v="Medium"/>
    <n v="1600"/>
    <n v="4"/>
    <n v="155000000000"/>
    <n v="600"/>
    <n v="28703.703699999998"/>
  </r>
  <r>
    <x v="43"/>
    <x v="3"/>
    <x v="7"/>
    <x v="0"/>
    <x v="0"/>
    <n v="23000000"/>
    <n v="900"/>
    <x v="1"/>
    <n v="3000"/>
    <x v="1"/>
    <s v="High"/>
    <n v="2200"/>
    <n v="3"/>
    <n v="860000000000"/>
    <n v="800"/>
    <n v="37391.304300000003"/>
  </r>
  <r>
    <x v="44"/>
    <x v="2"/>
    <x v="10"/>
    <x v="0"/>
    <x v="0"/>
    <n v="9600000"/>
    <n v="800"/>
    <x v="1"/>
    <n v="1900"/>
    <x v="2"/>
    <s v="Medium"/>
    <n v="1500"/>
    <n v="4"/>
    <n v="300000000000"/>
    <n v="400"/>
    <n v="31250"/>
  </r>
  <r>
    <x v="45"/>
    <x v="2"/>
    <x v="3"/>
    <x v="0"/>
    <x v="0"/>
    <n v="1800000"/>
    <n v="800"/>
    <x v="1"/>
    <n v="2000"/>
    <x v="2"/>
    <s v="Medium"/>
    <n v="1400"/>
    <n v="4"/>
    <n v="60000000000"/>
    <n v="600"/>
    <n v="33333.333299999998"/>
  </r>
  <r>
    <x v="46"/>
    <x v="1"/>
    <x v="4"/>
    <x v="2"/>
    <x v="2"/>
    <n v="280000"/>
    <n v="700"/>
    <x v="1"/>
    <n v="2200"/>
    <x v="1"/>
    <s v="High"/>
    <n v="2100"/>
    <n v="4"/>
    <n v="7000000000"/>
    <n v="100"/>
    <n v="25000"/>
  </r>
  <r>
    <x v="47"/>
    <x v="1"/>
    <x v="11"/>
    <x v="2"/>
    <x v="2"/>
    <n v="5300000"/>
    <n v="700"/>
    <x v="1"/>
    <n v="1600"/>
    <x v="2"/>
    <s v="High"/>
    <n v="1200"/>
    <n v="4"/>
    <n v="100000000000"/>
    <n v="400"/>
    <n v="18867.924500000001"/>
  </r>
  <r>
    <x v="48"/>
    <x v="1"/>
    <x v="11"/>
    <x v="2"/>
    <x v="2"/>
    <n v="4400000"/>
    <n v="700"/>
    <x v="1"/>
    <n v="1600"/>
    <x v="2"/>
    <s v="Medium"/>
    <n v="1200"/>
    <n v="3"/>
    <n v="95000000000"/>
    <n v="400"/>
    <n v="21590.909100000001"/>
  </r>
  <r>
    <x v="49"/>
    <x v="1"/>
    <x v="4"/>
    <x v="2"/>
    <x v="2"/>
    <n v="1500000"/>
    <n v="700"/>
    <x v="1"/>
    <n v="1800"/>
    <x v="2"/>
    <s v="High"/>
    <n v="1800"/>
    <n v="4"/>
    <n v="26000000000"/>
    <n v="0"/>
    <n v="17333.333299999998"/>
  </r>
  <r>
    <x v="50"/>
    <x v="1"/>
    <x v="4"/>
    <x v="2"/>
    <x v="2"/>
    <n v="100000"/>
    <n v="600"/>
    <x v="2"/>
    <n v="1900"/>
    <x v="2"/>
    <s v="High"/>
    <n v="2000"/>
    <n v="4"/>
    <n v="2000000000"/>
    <n v="-100"/>
    <n v="20000"/>
  </r>
  <r>
    <x v="51"/>
    <x v="2"/>
    <x v="10"/>
    <x v="3"/>
    <x v="2"/>
    <n v="6400000"/>
    <n v="600"/>
    <x v="1"/>
    <n v="1350"/>
    <x v="3"/>
    <s v="Low"/>
    <n v="650"/>
    <n v="4"/>
    <n v="135000000000"/>
    <n v="700"/>
    <n v="21093.75"/>
  </r>
  <r>
    <x v="52"/>
    <x v="3"/>
    <x v="6"/>
    <x v="2"/>
    <x v="2"/>
    <n v="86000000"/>
    <n v="600"/>
    <x v="2"/>
    <n v="1350"/>
    <x v="3"/>
    <s v="Medium"/>
    <n v="900"/>
    <n v="38"/>
    <n v="1150000000000"/>
    <n v="450"/>
    <n v="13372.093000000001"/>
  </r>
  <r>
    <x v="53"/>
    <x v="4"/>
    <x v="12"/>
    <x v="0"/>
    <x v="0"/>
    <n v="3500000"/>
    <n v="600"/>
    <x v="2"/>
    <n v="1500"/>
    <x v="2"/>
    <s v="High"/>
    <n v="1600"/>
    <n v="4"/>
    <n v="90000000000"/>
    <n v="-100"/>
    <n v="25714.2857"/>
  </r>
  <r>
    <x v="54"/>
    <x v="4"/>
    <x v="12"/>
    <x v="0"/>
    <x v="0"/>
    <n v="20000000"/>
    <n v="550"/>
    <x v="2"/>
    <n v="1450"/>
    <x v="2"/>
    <s v="Medium"/>
    <n v="950"/>
    <n v="4"/>
    <n v="360000000000"/>
    <n v="500"/>
    <n v="18000"/>
  </r>
  <r>
    <x v="55"/>
    <x v="1"/>
    <x v="4"/>
    <x v="1"/>
    <x v="1"/>
    <n v="125000"/>
    <n v="500"/>
    <x v="2"/>
    <n v="1200"/>
    <x v="3"/>
    <s v="High"/>
    <n v="1500"/>
    <n v="3"/>
    <n v="2000000000"/>
    <n v="-300"/>
    <n v="16000"/>
  </r>
  <r>
    <x v="56"/>
    <x v="4"/>
    <x v="12"/>
    <x v="2"/>
    <x v="2"/>
    <n v="800000"/>
    <n v="500"/>
    <x v="2"/>
    <n v="1300"/>
    <x v="3"/>
    <s v="Medium"/>
    <n v="650"/>
    <n v="4"/>
    <n v="25000000000"/>
    <n v="650"/>
    <n v="31250"/>
  </r>
  <r>
    <x v="57"/>
    <x v="3"/>
    <x v="13"/>
    <x v="2"/>
    <x v="2"/>
    <n v="520000"/>
    <n v="500"/>
    <x v="2"/>
    <n v="1350"/>
    <x v="3"/>
    <s v="High"/>
    <n v="1600"/>
    <n v="4"/>
    <n v="8000000000"/>
    <n v="-250"/>
    <n v="15384.615400000001"/>
  </r>
  <r>
    <x v="58"/>
    <x v="2"/>
    <x v="8"/>
    <x v="1"/>
    <x v="1"/>
    <n v="6700000"/>
    <n v="500"/>
    <x v="2"/>
    <n v="1000"/>
    <x v="3"/>
    <s v="Low"/>
    <n v="800"/>
    <n v="5"/>
    <n v="90000000000"/>
    <n v="200"/>
    <n v="13432.835800000001"/>
  </r>
  <r>
    <x v="59"/>
    <x v="4"/>
    <x v="12"/>
    <x v="2"/>
    <x v="2"/>
    <n v="18000000"/>
    <n v="460"/>
    <x v="2"/>
    <n v="850"/>
    <x v="3"/>
    <s v="Medium"/>
    <n v="650"/>
    <n v="3"/>
    <n v="125000000000"/>
    <n v="200"/>
    <n v="6944.4444000000003"/>
  </r>
  <r>
    <x v="60"/>
    <x v="1"/>
    <x v="11"/>
    <x v="1"/>
    <x v="1"/>
    <n v="18000000"/>
    <n v="450"/>
    <x v="2"/>
    <n v="800"/>
    <x v="3"/>
    <s v="Low"/>
    <n v="520"/>
    <n v="4"/>
    <n v="130000000000"/>
    <n v="280"/>
    <n v="7222.2222000000002"/>
  </r>
  <r>
    <x v="61"/>
    <x v="5"/>
    <x v="14"/>
    <x v="2"/>
    <x v="2"/>
    <n v="1300000"/>
    <n v="450"/>
    <x v="2"/>
    <n v="1200"/>
    <x v="3"/>
    <s v="Medium"/>
    <n v="1000"/>
    <n v="4"/>
    <n v="20000000000"/>
    <n v="200"/>
    <n v="15384.615400000001"/>
  </r>
  <r>
    <x v="62"/>
    <x v="4"/>
    <x v="12"/>
    <x v="2"/>
    <x v="2"/>
    <n v="34000000"/>
    <n v="450"/>
    <x v="2"/>
    <n v="1050"/>
    <x v="3"/>
    <s v="Medium"/>
    <n v="750"/>
    <n v="4"/>
    <n v="250000000000"/>
    <n v="300"/>
    <n v="7352.9412000000002"/>
  </r>
  <r>
    <x v="63"/>
    <x v="2"/>
    <x v="8"/>
    <x v="1"/>
    <x v="1"/>
    <n v="3200000"/>
    <n v="400"/>
    <x v="2"/>
    <n v="900"/>
    <x v="3"/>
    <s v="Low"/>
    <n v="600"/>
    <n v="4"/>
    <n v="50000000000"/>
    <n v="300"/>
    <n v="15625"/>
  </r>
  <r>
    <x v="64"/>
    <x v="1"/>
    <x v="4"/>
    <x v="1"/>
    <x v="1"/>
    <n v="70000"/>
    <n v="400"/>
    <x v="2"/>
    <n v="1000"/>
    <x v="3"/>
    <s v="Medium"/>
    <n v="900"/>
    <n v="3"/>
    <n v="1300000000"/>
    <n v="100"/>
    <n v="18571.428599999999"/>
  </r>
  <r>
    <x v="65"/>
    <x v="1"/>
    <x v="4"/>
    <x v="2"/>
    <x v="2"/>
    <n v="11000000"/>
    <n v="400"/>
    <x v="2"/>
    <n v="1050"/>
    <x v="3"/>
    <s v="Medium"/>
    <n v="850"/>
    <n v="5"/>
    <n v="135000000000"/>
    <n v="200"/>
    <n v="12272.7273"/>
  </r>
  <r>
    <x v="66"/>
    <x v="3"/>
    <x v="5"/>
    <x v="3"/>
    <x v="2"/>
    <n v="34000000"/>
    <n v="400"/>
    <x v="2"/>
    <n v="1200"/>
    <x v="2"/>
    <s v="Low"/>
    <n v="900"/>
    <n v="3"/>
    <n v="440000000000"/>
    <n v="300"/>
    <n v="12941.1765"/>
  </r>
  <r>
    <x v="67"/>
    <x v="1"/>
    <x v="11"/>
    <x v="2"/>
    <x v="2"/>
    <n v="129000000"/>
    <n v="400"/>
    <x v="2"/>
    <n v="1050"/>
    <x v="3"/>
    <s v="Medium"/>
    <n v="900"/>
    <n v="5"/>
    <n v="2000000000000"/>
    <n v="150"/>
    <n v="15503.876"/>
  </r>
  <r>
    <x v="68"/>
    <x v="3"/>
    <x v="6"/>
    <x v="4"/>
    <x v="3"/>
    <n v="5000000"/>
    <n v="400"/>
    <x v="2"/>
    <n v="720"/>
    <x v="3"/>
    <s v="Low"/>
    <n v="600"/>
    <n v="4"/>
    <n v="18000000000"/>
    <n v="120"/>
    <n v="3600"/>
  </r>
  <r>
    <x v="69"/>
    <x v="1"/>
    <x v="11"/>
    <x v="1"/>
    <x v="1"/>
    <n v="6300000"/>
    <n v="365"/>
    <x v="2"/>
    <n v="780"/>
    <x v="3"/>
    <s v="Medium"/>
    <n v="700"/>
    <n v="3"/>
    <n v="85000000000"/>
    <n v="80"/>
    <n v="13492.0635"/>
  </r>
  <r>
    <x v="70"/>
    <x v="1"/>
    <x v="11"/>
    <x v="1"/>
    <x v="1"/>
    <n v="430000"/>
    <n v="350"/>
    <x v="2"/>
    <n v="1050"/>
    <x v="2"/>
    <s v="Medium"/>
    <n v="700"/>
    <n v="5"/>
    <n v="3500000000"/>
    <n v="350"/>
    <n v="8139.5348999999997"/>
  </r>
  <r>
    <x v="71"/>
    <x v="4"/>
    <x v="12"/>
    <x v="1"/>
    <x v="1"/>
    <n v="12500000"/>
    <n v="350"/>
    <x v="2"/>
    <n v="720"/>
    <x v="3"/>
    <s v="Very Low"/>
    <n v="350"/>
    <n v="4"/>
    <n v="75000000000"/>
    <n v="370"/>
    <n v="6000"/>
  </r>
  <r>
    <x v="72"/>
    <x v="3"/>
    <x v="7"/>
    <x v="3"/>
    <x v="2"/>
    <n v="1410000000"/>
    <n v="350"/>
    <x v="2"/>
    <n v="960"/>
    <x v="3"/>
    <s v="Medium"/>
    <n v="900"/>
    <n v="1"/>
    <n v="18500000000000"/>
    <n v="60"/>
    <n v="13120.5674"/>
  </r>
  <r>
    <x v="73"/>
    <x v="4"/>
    <x v="12"/>
    <x v="2"/>
    <x v="2"/>
    <n v="52000000"/>
    <n v="350"/>
    <x v="2"/>
    <n v="880"/>
    <x v="3"/>
    <s v="Medium"/>
    <n v="700"/>
    <n v="6"/>
    <n v="450000000000"/>
    <n v="180"/>
    <n v="8653.8462"/>
  </r>
  <r>
    <x v="74"/>
    <x v="1"/>
    <x v="11"/>
    <x v="1"/>
    <x v="1"/>
    <n v="10600000"/>
    <n v="350"/>
    <x v="2"/>
    <n v="750"/>
    <x v="3"/>
    <s v="Low"/>
    <n v="500"/>
    <n v="5"/>
    <n v="70000000000"/>
    <n v="250"/>
    <n v="6603.7736000000004"/>
  </r>
  <r>
    <x v="75"/>
    <x v="2"/>
    <x v="8"/>
    <x v="1"/>
    <x v="1"/>
    <n v="2800000"/>
    <n v="320"/>
    <x v="2"/>
    <n v="680"/>
    <x v="3"/>
    <s v="Low"/>
    <n v="520"/>
    <n v="4"/>
    <n v="28000000000"/>
    <n v="160"/>
    <n v="10000"/>
  </r>
  <r>
    <x v="76"/>
    <x v="3"/>
    <x v="6"/>
    <x v="1"/>
    <x v="1"/>
    <n v="11000000"/>
    <n v="320"/>
    <x v="2"/>
    <n v="720"/>
    <x v="3"/>
    <s v="Low"/>
    <n v="520"/>
    <n v="3"/>
    <n v="60000000000"/>
    <n v="200"/>
    <n v="5454.5455000000002"/>
  </r>
  <r>
    <x v="77"/>
    <x v="5"/>
    <x v="15"/>
    <x v="1"/>
    <x v="1"/>
    <n v="37000000"/>
    <n v="320"/>
    <x v="2"/>
    <n v="720"/>
    <x v="3"/>
    <s v="Low"/>
    <n v="550"/>
    <n v="4"/>
    <n v="155000000000"/>
    <n v="170"/>
    <n v="4189.1891999999998"/>
  </r>
  <r>
    <x v="78"/>
    <x v="3"/>
    <x v="6"/>
    <x v="1"/>
    <x v="1"/>
    <n v="3000000"/>
    <n v="300"/>
    <x v="2"/>
    <n v="720"/>
    <x v="3"/>
    <s v="Low"/>
    <n v="500"/>
    <n v="4"/>
    <n v="28000000000"/>
    <n v="220"/>
    <n v="9333.3333000000002"/>
  </r>
  <r>
    <x v="79"/>
    <x v="5"/>
    <x v="16"/>
    <x v="1"/>
    <x v="1"/>
    <n v="2700000"/>
    <n v="300"/>
    <x v="2"/>
    <n v="950"/>
    <x v="3"/>
    <s v="Low"/>
    <n v="550"/>
    <n v="5"/>
    <n v="20000000000"/>
    <n v="400"/>
    <n v="7407.4074000000001"/>
  </r>
  <r>
    <x v="80"/>
    <x v="0"/>
    <x v="9"/>
    <x v="1"/>
    <x v="1"/>
    <n v="17000"/>
    <n v="300"/>
    <x v="3"/>
    <n v="900"/>
    <x v="4"/>
    <s v="Medium"/>
    <n v="800"/>
    <n v="3"/>
    <n v="600000000"/>
    <n v="100"/>
    <n v="35294.117599999998"/>
  </r>
  <r>
    <x v="81"/>
    <x v="3"/>
    <x v="6"/>
    <x v="1"/>
    <x v="1"/>
    <n v="3700000"/>
    <n v="300"/>
    <x v="2"/>
    <n v="720"/>
    <x v="3"/>
    <s v="Low"/>
    <n v="520"/>
    <n v="4"/>
    <n v="42000000000"/>
    <n v="200"/>
    <n v="11351.3514"/>
  </r>
  <r>
    <x v="82"/>
    <x v="3"/>
    <x v="6"/>
    <x v="1"/>
    <x v="1"/>
    <n v="45000000"/>
    <n v="300"/>
    <x v="2"/>
    <n v="720"/>
    <x v="3"/>
    <s v="Low"/>
    <n v="600"/>
    <n v="4"/>
    <n v="320000000000"/>
    <n v="120"/>
    <n v="7111.1111000000001"/>
  </r>
  <r>
    <x v="83"/>
    <x v="1"/>
    <x v="4"/>
    <x v="1"/>
    <x v="1"/>
    <n v="2800000"/>
    <n v="300"/>
    <x v="2"/>
    <n v="880"/>
    <x v="3"/>
    <s v="Medium"/>
    <n v="900"/>
    <n v="6"/>
    <n v="22000000000"/>
    <n v="-20"/>
    <n v="7857.1428999999998"/>
  </r>
  <r>
    <x v="84"/>
    <x v="5"/>
    <x v="15"/>
    <x v="1"/>
    <x v="1"/>
    <n v="7200000"/>
    <n v="300"/>
    <x v="2"/>
    <n v="720"/>
    <x v="3"/>
    <s v="Low"/>
    <n v="450"/>
    <n v="5"/>
    <n v="85000000000"/>
    <n v="270"/>
    <n v="11805.5556"/>
  </r>
  <r>
    <x v="85"/>
    <x v="4"/>
    <x v="12"/>
    <x v="1"/>
    <x v="1"/>
    <n v="7200000"/>
    <n v="300"/>
    <x v="2"/>
    <n v="720"/>
    <x v="3"/>
    <s v="Low"/>
    <n v="550"/>
    <n v="4"/>
    <n v="50000000000"/>
    <n v="170"/>
    <n v="6944.4444000000003"/>
  </r>
  <r>
    <x v="86"/>
    <x v="2"/>
    <x v="10"/>
    <x v="3"/>
    <x v="2"/>
    <n v="144000000"/>
    <n v="300"/>
    <x v="2"/>
    <n v="960"/>
    <x v="3"/>
    <s v="Low"/>
    <n v="800"/>
    <n v="6"/>
    <n v="2200000000000"/>
    <n v="160"/>
    <n v="15277.7778"/>
  </r>
  <r>
    <x v="87"/>
    <x v="4"/>
    <x v="12"/>
    <x v="1"/>
    <x v="1"/>
    <n v="600000"/>
    <n v="300"/>
    <x v="3"/>
    <n v="720"/>
    <x v="3"/>
    <s v="Low"/>
    <n v="650"/>
    <n v="6"/>
    <n v="9000000000"/>
    <n v="70"/>
    <n v="15000"/>
  </r>
  <r>
    <x v="88"/>
    <x v="4"/>
    <x v="12"/>
    <x v="2"/>
    <x v="2"/>
    <n v="216000000"/>
    <n v="280"/>
    <x v="2"/>
    <n v="720"/>
    <x v="3"/>
    <s v="Medium"/>
    <n v="800"/>
    <n v="4"/>
    <n v="2400000000000"/>
    <n v="-80"/>
    <n v="11111.1111"/>
  </r>
  <r>
    <x v="89"/>
    <x v="2"/>
    <x v="10"/>
    <x v="1"/>
    <x v="1"/>
    <n v="9200000"/>
    <n v="250"/>
    <x v="3"/>
    <n v="700"/>
    <x v="3"/>
    <s v="Low"/>
    <n v="450"/>
    <n v="6"/>
    <n v="85000000000"/>
    <n v="250"/>
    <n v="9239.1304"/>
  </r>
  <r>
    <x v="90"/>
    <x v="5"/>
    <x v="17"/>
    <x v="1"/>
    <x v="1"/>
    <n v="600000"/>
    <n v="250"/>
    <x v="3"/>
    <n v="720"/>
    <x v="3"/>
    <s v="Low"/>
    <n v="550"/>
    <n v="3"/>
    <n v="7000000000"/>
    <n v="170"/>
    <n v="11666.6667"/>
  </r>
  <r>
    <x v="91"/>
    <x v="5"/>
    <x v="18"/>
    <x v="1"/>
    <x v="1"/>
    <n v="2400000"/>
    <n v="250"/>
    <x v="3"/>
    <n v="720"/>
    <x v="3"/>
    <s v="Medium"/>
    <n v="900"/>
    <n v="4"/>
    <n v="23000000000"/>
    <n v="-180"/>
    <n v="9583.3333000000002"/>
  </r>
  <r>
    <x v="92"/>
    <x v="3"/>
    <x v="19"/>
    <x v="2"/>
    <x v="2"/>
    <n v="20000000"/>
    <n v="250"/>
    <x v="3"/>
    <n v="900"/>
    <x v="3"/>
    <s v="Low"/>
    <n v="650"/>
    <n v="6"/>
    <n v="300000000000"/>
    <n v="250"/>
    <n v="15000"/>
  </r>
  <r>
    <x v="93"/>
    <x v="2"/>
    <x v="10"/>
    <x v="1"/>
    <x v="1"/>
    <n v="2500000"/>
    <n v="250"/>
    <x v="3"/>
    <n v="560"/>
    <x v="4"/>
    <s v="Very Low"/>
    <n v="400"/>
    <n v="6"/>
    <n v="38000000000"/>
    <n v="160"/>
    <n v="15200"/>
  </r>
  <r>
    <x v="94"/>
    <x v="3"/>
    <x v="7"/>
    <x v="1"/>
    <x v="1"/>
    <n v="3500000"/>
    <n v="250"/>
    <x v="3"/>
    <n v="640"/>
    <x v="4"/>
    <s v="Low"/>
    <n v="650"/>
    <n v="5"/>
    <n v="55000000000"/>
    <n v="-10"/>
    <n v="15714.2857"/>
  </r>
  <r>
    <x v="95"/>
    <x v="5"/>
    <x v="16"/>
    <x v="2"/>
    <x v="2"/>
    <n v="60000000"/>
    <n v="250"/>
    <x v="2"/>
    <n v="900"/>
    <x v="3"/>
    <s v="Medium"/>
    <n v="900"/>
    <n v="5"/>
    <n v="450000000000"/>
    <n v="0"/>
    <n v="7500"/>
  </r>
  <r>
    <x v="96"/>
    <x v="3"/>
    <x v="5"/>
    <x v="2"/>
    <x v="2"/>
    <n v="71000000"/>
    <n v="250"/>
    <x v="3"/>
    <n v="720"/>
    <x v="3"/>
    <s v="Low"/>
    <n v="650"/>
    <n v="2"/>
    <n v="620000000000"/>
    <n v="70"/>
    <n v="8732.3943999999992"/>
  </r>
  <r>
    <x v="97"/>
    <x v="5"/>
    <x v="15"/>
    <x v="1"/>
    <x v="1"/>
    <n v="12000000"/>
    <n v="250"/>
    <x v="3"/>
    <n v="640"/>
    <x v="4"/>
    <s v="Low"/>
    <n v="500"/>
    <n v="4"/>
    <n v="60000000000"/>
    <n v="140"/>
    <n v="5000"/>
  </r>
  <r>
    <x v="98"/>
    <x v="4"/>
    <x v="12"/>
    <x v="2"/>
    <x v="2"/>
    <n v="46000000"/>
    <n v="200"/>
    <x v="3"/>
    <n v="640"/>
    <x v="3"/>
    <s v="Medium"/>
    <n v="650"/>
    <n v="30"/>
    <n v="620000000000"/>
    <n v="-10"/>
    <n v="13478.260899999999"/>
  </r>
  <r>
    <x v="99"/>
    <x v="3"/>
    <x v="6"/>
    <x v="1"/>
    <x v="1"/>
    <n v="10000000"/>
    <n v="200"/>
    <x v="3"/>
    <n v="560"/>
    <x v="3"/>
    <s v="Low"/>
    <n v="420"/>
    <n v="5"/>
    <n v="85000000000"/>
    <n v="140"/>
    <n v="8500"/>
  </r>
  <r>
    <x v="100"/>
    <x v="3"/>
    <x v="5"/>
    <x v="1"/>
    <x v="1"/>
    <n v="17000000"/>
    <n v="200"/>
    <x v="3"/>
    <n v="360"/>
    <x v="4"/>
    <s v="Low"/>
    <n v="380"/>
    <n v="4"/>
    <n v="60000000000"/>
    <n v="-20"/>
    <n v="3529.4117999999999"/>
  </r>
  <r>
    <x v="101"/>
    <x v="5"/>
    <x v="14"/>
    <x v="4"/>
    <x v="3"/>
    <n v="1100000"/>
    <n v="200"/>
    <x v="3"/>
    <n v="480"/>
    <x v="4"/>
    <s v="Medium"/>
    <n v="700"/>
    <n v="4"/>
    <n v="5000000000"/>
    <n v="-220"/>
    <n v="4545.4544999999998"/>
  </r>
  <r>
    <x v="102"/>
    <x v="5"/>
    <x v="18"/>
    <x v="1"/>
    <x v="1"/>
    <n v="1800000"/>
    <n v="200"/>
    <x v="3"/>
    <n v="640"/>
    <x v="3"/>
    <s v="Low"/>
    <n v="600"/>
    <n v="4"/>
    <n v="12000000000"/>
    <n v="40"/>
    <n v="6666.6666999999998"/>
  </r>
  <r>
    <x v="103"/>
    <x v="3"/>
    <x v="5"/>
    <x v="2"/>
    <x v="2"/>
    <n v="278000000"/>
    <n v="200"/>
    <x v="3"/>
    <n v="640"/>
    <x v="3"/>
    <s v="Low"/>
    <n v="600"/>
    <n v="3"/>
    <n v="1450000000000"/>
    <n v="40"/>
    <n v="5215.8272999999999"/>
  </r>
  <r>
    <x v="104"/>
    <x v="3"/>
    <x v="6"/>
    <x v="2"/>
    <x v="2"/>
    <n v="89000000"/>
    <n v="200"/>
    <x v="3"/>
    <n v="560"/>
    <x v="3"/>
    <s v="Low"/>
    <n v="500"/>
    <n v="35"/>
    <n v="430000000000"/>
    <n v="60"/>
    <n v="4831.4606999999996"/>
  </r>
  <r>
    <x v="105"/>
    <x v="3"/>
    <x v="19"/>
    <x v="1"/>
    <x v="1"/>
    <n v="7200000"/>
    <n v="200"/>
    <x v="3"/>
    <n v="480"/>
    <x v="4"/>
    <s v="Very Low"/>
    <n v="300"/>
    <n v="6"/>
    <n v="22000000000"/>
    <n v="180"/>
    <n v="3055.5556000000001"/>
  </r>
  <r>
    <x v="106"/>
    <x v="5"/>
    <x v="16"/>
    <x v="1"/>
    <x v="1"/>
    <n v="2700000"/>
    <n v="200"/>
    <x v="3"/>
    <n v="640"/>
    <x v="4"/>
    <s v="Low"/>
    <n v="650"/>
    <n v="5"/>
    <n v="16000000000"/>
    <n v="-10"/>
    <n v="5925.9259000000002"/>
  </r>
  <r>
    <x v="107"/>
    <x v="1"/>
    <x v="11"/>
    <x v="1"/>
    <x v="1"/>
    <n v="6800000"/>
    <n v="200"/>
    <x v="3"/>
    <n v="480"/>
    <x v="4"/>
    <s v="Very Low"/>
    <n v="350"/>
    <n v="5"/>
    <n v="27000000000"/>
    <n v="130"/>
    <n v="3970.5882000000001"/>
  </r>
  <r>
    <x v="108"/>
    <x v="3"/>
    <x v="19"/>
    <x v="1"/>
    <x v="1"/>
    <n v="7000000"/>
    <n v="200"/>
    <x v="4"/>
    <n v="480"/>
    <x v="4"/>
    <s v="Very Low"/>
    <n v="300"/>
    <n v="5"/>
    <n v="65000000000"/>
    <n v="180"/>
    <n v="9285.7142999999996"/>
  </r>
  <r>
    <x v="109"/>
    <x v="2"/>
    <x v="10"/>
    <x v="1"/>
    <x v="1"/>
    <n v="36000000"/>
    <n v="200"/>
    <x v="3"/>
    <n v="560"/>
    <x v="4"/>
    <s v="Low"/>
    <n v="450"/>
    <n v="7"/>
    <n v="240000000000"/>
    <n v="110"/>
    <n v="6666.6666999999998"/>
  </r>
  <r>
    <x v="110"/>
    <x v="3"/>
    <x v="5"/>
    <x v="1"/>
    <x v="1"/>
    <n v="7700000"/>
    <n v="180"/>
    <x v="3"/>
    <n v="400"/>
    <x v="4"/>
    <s v="Very Low"/>
    <n v="320"/>
    <n v="4"/>
    <n v="27000000000"/>
    <n v="80"/>
    <n v="3506.4935"/>
  </r>
  <r>
    <x v="111"/>
    <x v="3"/>
    <x v="5"/>
    <x v="1"/>
    <x v="1"/>
    <n v="117000000"/>
    <n v="180"/>
    <x v="3"/>
    <n v="560"/>
    <x v="4"/>
    <s v="Low"/>
    <n v="550"/>
    <n v="5"/>
    <n v="480000000000"/>
    <n v="10"/>
    <n v="4102.5640999999996"/>
  </r>
  <r>
    <x v="112"/>
    <x v="3"/>
    <x v="5"/>
    <x v="1"/>
    <x v="1"/>
    <n v="100000000"/>
    <n v="180"/>
    <x v="3"/>
    <n v="560"/>
    <x v="4"/>
    <s v="Low"/>
    <n v="450"/>
    <n v="4"/>
    <n v="550000000000"/>
    <n v="110"/>
    <n v="5500"/>
  </r>
  <r>
    <x v="113"/>
    <x v="5"/>
    <x v="15"/>
    <x v="1"/>
    <x v="1"/>
    <n v="46000000"/>
    <n v="150"/>
    <x v="3"/>
    <n v="520"/>
    <x v="3"/>
    <s v="Low"/>
    <n v="450"/>
    <n v="5"/>
    <n v="260000000000"/>
    <n v="70"/>
    <n v="5652.1738999999998"/>
  </r>
  <r>
    <x v="114"/>
    <x v="3"/>
    <x v="13"/>
    <x v="1"/>
    <x v="1"/>
    <n v="800000"/>
    <n v="150"/>
    <x v="3"/>
    <n v="400"/>
    <x v="4"/>
    <s v="Very Low"/>
    <n v="280"/>
    <n v="4"/>
    <n v="3500000000"/>
    <n v="120"/>
    <n v="4375"/>
  </r>
  <r>
    <x v="115"/>
    <x v="3"/>
    <x v="5"/>
    <x v="1"/>
    <x v="1"/>
    <n v="1300000"/>
    <n v="150"/>
    <x v="3"/>
    <n v="320"/>
    <x v="4"/>
    <s v="Very Low"/>
    <n v="300"/>
    <n v="4"/>
    <n v="4500000000"/>
    <n v="20"/>
    <n v="3461.5385000000001"/>
  </r>
  <r>
    <x v="116"/>
    <x v="5"/>
    <x v="16"/>
    <x v="4"/>
    <x v="3"/>
    <n v="2300000"/>
    <n v="150"/>
    <x v="3"/>
    <n v="360"/>
    <x v="4"/>
    <s v="Very Low"/>
    <n v="300"/>
    <n v="5"/>
    <n v="5000000000"/>
    <n v="60"/>
    <n v="2173.913"/>
  </r>
  <r>
    <x v="117"/>
    <x v="3"/>
    <x v="13"/>
    <x v="1"/>
    <x v="1"/>
    <n v="242000000"/>
    <n v="150"/>
    <x v="3"/>
    <n v="360"/>
    <x v="4"/>
    <s v="Very Low"/>
    <n v="250"/>
    <n v="30"/>
    <n v="450000000000"/>
    <n v="110"/>
    <n v="1859.5041000000001"/>
  </r>
  <r>
    <x v="118"/>
    <x v="5"/>
    <x v="14"/>
    <x v="1"/>
    <x v="1"/>
    <n v="55000000"/>
    <n v="130"/>
    <x v="3"/>
    <n v="360"/>
    <x v="4"/>
    <s v="Low"/>
    <n v="350"/>
    <n v="6"/>
    <n v="120000000000"/>
    <n v="10"/>
    <n v="2181.8182000000002"/>
  </r>
  <r>
    <x v="119"/>
    <x v="5"/>
    <x v="18"/>
    <x v="4"/>
    <x v="3"/>
    <n v="6000000"/>
    <n v="120"/>
    <x v="3"/>
    <n v="400"/>
    <x v="4"/>
    <s v="Low"/>
    <n v="450"/>
    <n v="4"/>
    <n v="22000000000"/>
    <n v="-50"/>
    <n v="3666.6667000000002"/>
  </r>
  <r>
    <x v="120"/>
    <x v="5"/>
    <x v="15"/>
    <x v="1"/>
    <x v="1"/>
    <n v="112000000"/>
    <n v="120"/>
    <x v="3"/>
    <n v="380"/>
    <x v="4"/>
    <s v="Low"/>
    <n v="380"/>
    <n v="12"/>
    <n v="560000000000"/>
    <n v="0"/>
    <n v="5000"/>
  </r>
  <r>
    <x v="121"/>
    <x v="0"/>
    <x v="20"/>
    <x v="1"/>
    <x v="1"/>
    <n v="930000"/>
    <n v="120"/>
    <x v="3"/>
    <n v="480"/>
    <x v="4"/>
    <s v="Low"/>
    <n v="650"/>
    <n v="4"/>
    <n v="6500000000"/>
    <n v="-170"/>
    <n v="6989.2473"/>
  </r>
  <r>
    <x v="122"/>
    <x v="1"/>
    <x v="4"/>
    <x v="4"/>
    <x v="3"/>
    <n v="11500000"/>
    <n v="120"/>
    <x v="4"/>
    <n v="220"/>
    <x v="4"/>
    <s v="Very Low"/>
    <n v="240"/>
    <n v="18"/>
    <n v="20000000000"/>
    <n v="-20"/>
    <n v="1739.1304"/>
  </r>
  <r>
    <x v="123"/>
    <x v="0"/>
    <x v="21"/>
    <x v="1"/>
    <x v="1"/>
    <n v="130000"/>
    <n v="120"/>
    <x v="3"/>
    <n v="320"/>
    <x v="4"/>
    <s v="Very Low"/>
    <n v="300"/>
    <n v="4"/>
    <n v="350000000"/>
    <n v="20"/>
    <n v="2692.3076999999998"/>
  </r>
  <r>
    <x v="124"/>
    <x v="3"/>
    <x v="13"/>
    <x v="1"/>
    <x v="1"/>
    <n v="31000000"/>
    <n v="120"/>
    <x v="3"/>
    <n v="320"/>
    <x v="4"/>
    <s v="Very Low"/>
    <n v="280"/>
    <n v="6"/>
    <n v="48000000000"/>
    <n v="40"/>
    <n v="1548.3870999999999"/>
  </r>
  <r>
    <x v="125"/>
    <x v="3"/>
    <x v="13"/>
    <x v="1"/>
    <x v="1"/>
    <n v="22000000"/>
    <n v="120"/>
    <x v="3"/>
    <n v="360"/>
    <x v="4"/>
    <s v="Low"/>
    <n v="320"/>
    <n v="8"/>
    <n v="90000000000"/>
    <n v="40"/>
    <n v="4090.9090999999999"/>
  </r>
  <r>
    <x v="126"/>
    <x v="3"/>
    <x v="19"/>
    <x v="1"/>
    <x v="1"/>
    <n v="36000000"/>
    <n v="120"/>
    <x v="3"/>
    <n v="360"/>
    <x v="4"/>
    <s v="Very Low"/>
    <n v="320"/>
    <n v="6"/>
    <n v="130000000000"/>
    <n v="40"/>
    <n v="3611.1111000000001"/>
  </r>
  <r>
    <x v="127"/>
    <x v="3"/>
    <x v="13"/>
    <x v="1"/>
    <x v="1"/>
    <n v="1440000000"/>
    <n v="100"/>
    <x v="4"/>
    <n v="360"/>
    <x v="4"/>
    <s v="Very Low"/>
    <n v="300"/>
    <n v="5"/>
    <n v="4200000000000"/>
    <n v="60"/>
    <n v="2916.6667000000002"/>
  </r>
  <r>
    <x v="128"/>
    <x v="0"/>
    <x v="20"/>
    <x v="4"/>
    <x v="3"/>
    <n v="10000000"/>
    <n v="100"/>
    <x v="4"/>
    <n v="260"/>
    <x v="4"/>
    <s v="Very Low"/>
    <n v="450"/>
    <n v="5"/>
    <n v="32000000000"/>
    <n v="-190"/>
    <n v="3200"/>
  </r>
  <r>
    <x v="129"/>
    <x v="5"/>
    <x v="16"/>
    <x v="4"/>
    <x v="3"/>
    <n v="17000000"/>
    <n v="100"/>
    <x v="4"/>
    <n v="280"/>
    <x v="4"/>
    <s v="Very Low"/>
    <n v="250"/>
    <n v="90"/>
    <n v="32000000000"/>
    <n v="30"/>
    <n v="1882.3529000000001"/>
  </r>
  <r>
    <x v="130"/>
    <x v="5"/>
    <x v="17"/>
    <x v="1"/>
    <x v="1"/>
    <n v="30000000"/>
    <n v="90"/>
    <x v="4"/>
    <n v="280"/>
    <x v="4"/>
    <s v="Low"/>
    <n v="420"/>
    <n v="3"/>
    <n v="95000000000"/>
    <n v="-140"/>
    <n v="3166.6667000000002"/>
  </r>
  <r>
    <x v="131"/>
    <x v="5"/>
    <x v="17"/>
    <x v="4"/>
    <x v="3"/>
    <n v="5400000"/>
    <n v="90"/>
    <x v="4"/>
    <n v="210"/>
    <x v="4"/>
    <s v="Very Low"/>
    <n v="250"/>
    <n v="6"/>
    <n v="6000000000"/>
    <n v="-40"/>
    <n v="1111.1111000000001"/>
  </r>
  <r>
    <x v="132"/>
    <x v="5"/>
    <x v="17"/>
    <x v="4"/>
    <x v="3"/>
    <n v="18000000"/>
    <n v="90"/>
    <x v="4"/>
    <n v="250"/>
    <x v="4"/>
    <s v="Low"/>
    <n v="420"/>
    <n v="4"/>
    <n v="38000000000"/>
    <n v="-170"/>
    <n v="2111.1111000000001"/>
  </r>
  <r>
    <x v="133"/>
    <x v="5"/>
    <x v="17"/>
    <x v="4"/>
    <x v="3"/>
    <n v="14000000"/>
    <n v="80"/>
    <x v="4"/>
    <n v="250"/>
    <x v="4"/>
    <s v="Very Low"/>
    <n v="250"/>
    <n v="3"/>
    <n v="27000000000"/>
    <n v="0"/>
    <n v="1928.5714"/>
  </r>
  <r>
    <x v="134"/>
    <x v="5"/>
    <x v="17"/>
    <x v="1"/>
    <x v="1"/>
    <n v="34000000"/>
    <n v="80"/>
    <x v="4"/>
    <n v="240"/>
    <x v="4"/>
    <s v="Low"/>
    <n v="400"/>
    <n v="20"/>
    <n v="90000000000"/>
    <n v="-160"/>
    <n v="2647.0587999999998"/>
  </r>
  <r>
    <x v="135"/>
    <x v="5"/>
    <x v="14"/>
    <x v="4"/>
    <x v="3"/>
    <n v="14000000"/>
    <n v="80"/>
    <x v="4"/>
    <n v="220"/>
    <x v="4"/>
    <s v="Very Low"/>
    <n v="280"/>
    <n v="6"/>
    <n v="16000000000"/>
    <n v="-60"/>
    <n v="1142.8570999999999"/>
  </r>
  <r>
    <x v="136"/>
    <x v="5"/>
    <x v="16"/>
    <x v="4"/>
    <x v="3"/>
    <n v="21000000"/>
    <n v="80"/>
    <x v="4"/>
    <n v="240"/>
    <x v="4"/>
    <s v="Very Low"/>
    <n v="300"/>
    <n v="8"/>
    <n v="38000000000"/>
    <n v="-60"/>
    <n v="1809.5237999999999"/>
  </r>
  <r>
    <x v="137"/>
    <x v="3"/>
    <x v="13"/>
    <x v="1"/>
    <x v="1"/>
    <n v="173000000"/>
    <n v="75"/>
    <x v="4"/>
    <n v="260"/>
    <x v="4"/>
    <s v="Very Low"/>
    <n v="220"/>
    <n v="8"/>
    <n v="560000000000"/>
    <n v="40"/>
    <n v="3236.9942000000001"/>
  </r>
  <r>
    <x v="138"/>
    <x v="5"/>
    <x v="18"/>
    <x v="4"/>
    <x v="3"/>
    <n v="29000000"/>
    <n v="75"/>
    <x v="4"/>
    <n v="240"/>
    <x v="4"/>
    <s v="Low"/>
    <n v="350"/>
    <n v="5"/>
    <n v="70000000000"/>
    <n v="-110"/>
    <n v="2413.7930999999999"/>
  </r>
  <r>
    <x v="139"/>
    <x v="5"/>
    <x v="18"/>
    <x v="4"/>
    <x v="3"/>
    <n v="36000000"/>
    <n v="70"/>
    <x v="4"/>
    <n v="210"/>
    <x v="4"/>
    <s v="Low"/>
    <n v="500"/>
    <n v="20"/>
    <n v="115000000000"/>
    <n v="-290"/>
    <n v="3194.4443999999999"/>
  </r>
  <r>
    <x v="140"/>
    <x v="5"/>
    <x v="17"/>
    <x v="4"/>
    <x v="3"/>
    <n v="23000000"/>
    <n v="70"/>
    <x v="4"/>
    <n v="210"/>
    <x v="4"/>
    <s v="Very Low"/>
    <n v="220"/>
    <n v="3"/>
    <n v="23000000000"/>
    <n v="-10"/>
    <n v="1000"/>
  </r>
  <r>
    <x v="141"/>
    <x v="5"/>
    <x v="17"/>
    <x v="4"/>
    <x v="3"/>
    <n v="14000000"/>
    <n v="70"/>
    <x v="4"/>
    <n v="180"/>
    <x v="4"/>
    <s v="Very Low"/>
    <n v="220"/>
    <n v="8"/>
    <n v="38000000000"/>
    <n v="-40"/>
    <n v="2714.2856999999999"/>
  </r>
  <r>
    <x v="142"/>
    <x v="5"/>
    <x v="17"/>
    <x v="4"/>
    <x v="3"/>
    <n v="24000000"/>
    <n v="70"/>
    <x v="4"/>
    <n v="170"/>
    <x v="4"/>
    <s v="Very Low"/>
    <n v="220"/>
    <n v="4"/>
    <n v="32000000000"/>
    <n v="-50"/>
    <n v="1333.3333"/>
  </r>
  <r>
    <x v="143"/>
    <x v="5"/>
    <x v="14"/>
    <x v="4"/>
    <x v="3"/>
    <n v="67000000"/>
    <n v="70"/>
    <x v="4"/>
    <n v="220"/>
    <x v="4"/>
    <s v="Very Low"/>
    <n v="250"/>
    <n v="5"/>
    <n v="95000000000"/>
    <n v="-30"/>
    <n v="1417.9104"/>
  </r>
  <r>
    <x v="144"/>
    <x v="3"/>
    <x v="5"/>
    <x v="4"/>
    <x v="3"/>
    <n v="55000000"/>
    <n v="60"/>
    <x v="4"/>
    <n v="170"/>
    <x v="4"/>
    <s v="Very Low"/>
    <n v="200"/>
    <n v="20"/>
    <n v="70000000000"/>
    <n v="-30"/>
    <n v="1272.7273"/>
  </r>
  <r>
    <x v="145"/>
    <x v="5"/>
    <x v="14"/>
    <x v="4"/>
    <x v="3"/>
    <n v="900000"/>
    <n v="60"/>
    <x v="4"/>
    <n v="160"/>
    <x v="4"/>
    <s v="Very Low"/>
    <n v="220"/>
    <n v="3"/>
    <n v="3000000000"/>
    <n v="-60"/>
    <n v="3333.3332999999998"/>
  </r>
  <r>
    <x v="146"/>
    <x v="5"/>
    <x v="18"/>
    <x v="4"/>
    <x v="3"/>
    <n v="102000000"/>
    <n v="60"/>
    <x v="4"/>
    <n v="140"/>
    <x v="4"/>
    <s v="Very Low"/>
    <n v="200"/>
    <n v="8"/>
    <n v="85000000000"/>
    <n v="-60"/>
    <n v="833.33330000000001"/>
  </r>
  <r>
    <x v="147"/>
    <x v="5"/>
    <x v="14"/>
    <x v="4"/>
    <x v="3"/>
    <n v="126000000"/>
    <n v="60"/>
    <x v="4"/>
    <n v="180"/>
    <x v="4"/>
    <s v="Very Low"/>
    <n v="250"/>
    <n v="15"/>
    <n v="240000000000"/>
    <n v="-70"/>
    <n v="1904.7619"/>
  </r>
  <r>
    <x v="148"/>
    <x v="5"/>
    <x v="17"/>
    <x v="4"/>
    <x v="3"/>
    <n v="2800000"/>
    <n v="60"/>
    <x v="4"/>
    <n v="180"/>
    <x v="4"/>
    <s v="Very Low"/>
    <n v="220"/>
    <n v="5"/>
    <n v="5000000000"/>
    <n v="-40"/>
    <n v="1785.7143000000001"/>
  </r>
  <r>
    <x v="149"/>
    <x v="5"/>
    <x v="17"/>
    <x v="4"/>
    <x v="3"/>
    <n v="2200000"/>
    <n v="60"/>
    <x v="4"/>
    <n v="150"/>
    <x v="4"/>
    <s v="Very Low"/>
    <n v="200"/>
    <n v="5"/>
    <n v="2200000000"/>
    <n v="-50"/>
    <n v="1000"/>
  </r>
  <r>
    <x v="150"/>
    <x v="5"/>
    <x v="14"/>
    <x v="4"/>
    <x v="3"/>
    <n v="30000000"/>
    <n v="60"/>
    <x v="4"/>
    <n v="180"/>
    <x v="4"/>
    <s v="Very Low"/>
    <n v="220"/>
    <n v="7"/>
    <n v="22000000000"/>
    <n v="-40"/>
    <n v="733.33330000000001"/>
  </r>
  <r>
    <x v="151"/>
    <x v="5"/>
    <x v="16"/>
    <x v="4"/>
    <x v="3"/>
    <n v="33000000"/>
    <n v="60"/>
    <x v="4"/>
    <n v="180"/>
    <x v="4"/>
    <s v="Very Low"/>
    <n v="250"/>
    <n v="8"/>
    <n v="22000000000"/>
    <n v="-70"/>
    <n v="666.66669999999999"/>
  </r>
  <r>
    <x v="152"/>
    <x v="5"/>
    <x v="17"/>
    <x v="4"/>
    <x v="3"/>
    <n v="8600000"/>
    <n v="60"/>
    <x v="4"/>
    <n v="170"/>
    <x v="4"/>
    <s v="Very Low"/>
    <n v="200"/>
    <n v="8"/>
    <n v="8000000000"/>
    <n v="-30"/>
    <n v="930.23260000000005"/>
  </r>
  <r>
    <x v="153"/>
    <x v="5"/>
    <x v="17"/>
    <x v="4"/>
    <x v="3"/>
    <n v="9000000"/>
    <n v="60"/>
    <x v="4"/>
    <n v="160"/>
    <x v="4"/>
    <s v="Very Low"/>
    <n v="220"/>
    <n v="4"/>
    <n v="16000000000"/>
    <n v="-60"/>
    <n v="1777.7778000000001"/>
  </r>
  <r>
    <x v="154"/>
    <x v="5"/>
    <x v="14"/>
    <x v="4"/>
    <x v="3"/>
    <n v="50000000"/>
    <n v="60"/>
    <x v="4"/>
    <n v="220"/>
    <x v="4"/>
    <s v="Very Low"/>
    <n v="220"/>
    <n v="5"/>
    <n v="85000000000"/>
    <n v="0"/>
    <n v="1700"/>
  </r>
  <r>
    <x v="155"/>
    <x v="3"/>
    <x v="13"/>
    <x v="4"/>
    <x v="3"/>
    <n v="42000000"/>
    <n v="50"/>
    <x v="4"/>
    <n v="90"/>
    <x v="4"/>
    <s v="Very Low"/>
    <n v="180"/>
    <n v="10"/>
    <n v="20000000000"/>
    <n v="-90"/>
    <n v="476.19049999999999"/>
  </r>
  <r>
    <x v="156"/>
    <x v="5"/>
    <x v="18"/>
    <x v="4"/>
    <x v="3"/>
    <n v="18000000"/>
    <n v="50"/>
    <x v="4"/>
    <n v="130"/>
    <x v="4"/>
    <s v="Very Low"/>
    <n v="220"/>
    <n v="4"/>
    <n v="18000000000"/>
    <n v="-90"/>
    <n v="1000"/>
  </r>
  <r>
    <x v="157"/>
    <x v="1"/>
    <x v="4"/>
    <x v="1"/>
    <x v="1"/>
    <n v="11000000"/>
    <n v="50"/>
    <x v="4"/>
    <n v="90"/>
    <x v="4"/>
    <s v="Low"/>
    <n v="300"/>
    <n v="4"/>
    <n v="110000000000"/>
    <n v="-210"/>
    <n v="10000"/>
  </r>
  <r>
    <x v="158"/>
    <x v="5"/>
    <x v="14"/>
    <x v="4"/>
    <x v="3"/>
    <n v="3700000"/>
    <n v="50"/>
    <x v="4"/>
    <n v="110"/>
    <x v="4"/>
    <s v="Very Low"/>
    <n v="180"/>
    <n v="6"/>
    <n v="4000000000"/>
    <n v="-70"/>
    <n v="1081.0811000000001"/>
  </r>
  <r>
    <x v="159"/>
    <x v="3"/>
    <x v="6"/>
    <x v="1"/>
    <x v="1"/>
    <n v="5600000"/>
    <n v="50"/>
    <x v="4"/>
    <n v="120"/>
    <x v="4"/>
    <s v="High"/>
    <n v="800"/>
    <n v="120"/>
    <n v="25000000000"/>
    <n v="-680"/>
    <n v="4464.2857000000004"/>
  </r>
  <r>
    <x v="160"/>
    <x v="5"/>
    <x v="16"/>
    <x v="4"/>
    <x v="3"/>
    <n v="21000000"/>
    <n v="50"/>
    <x v="4"/>
    <n v="140"/>
    <x v="4"/>
    <s v="Very Low"/>
    <n v="200"/>
    <n v="8"/>
    <n v="18000000000"/>
    <n v="-60"/>
    <n v="857.14290000000005"/>
  </r>
  <r>
    <x v="161"/>
    <x v="5"/>
    <x v="17"/>
    <x v="4"/>
    <x v="3"/>
    <n v="27000000"/>
    <n v="50"/>
    <x v="4"/>
    <n v="130"/>
    <x v="4"/>
    <s v="Very Low"/>
    <n v="200"/>
    <n v="4"/>
    <n v="18000000000"/>
    <n v="-70"/>
    <n v="666.66669999999999"/>
  </r>
  <r>
    <x v="162"/>
    <x v="5"/>
    <x v="17"/>
    <x v="1"/>
    <x v="1"/>
    <n v="229000000"/>
    <n v="50"/>
    <x v="4"/>
    <n v="220"/>
    <x v="4"/>
    <s v="Low"/>
    <n v="450"/>
    <n v="24"/>
    <n v="560000000000"/>
    <n v="-230"/>
    <n v="2445.4148"/>
  </r>
  <r>
    <x v="163"/>
    <x v="5"/>
    <x v="18"/>
    <x v="4"/>
    <x v="3"/>
    <n v="5000000"/>
    <n v="40"/>
    <x v="4"/>
    <n v="110"/>
    <x v="4"/>
    <s v="Very Low"/>
    <n v="200"/>
    <n v="4"/>
    <n v="4500000000"/>
    <n v="-90"/>
    <n v="900"/>
  </r>
  <r>
    <x v="164"/>
    <x v="5"/>
    <x v="15"/>
    <x v="4"/>
    <x v="3"/>
    <n v="49000000"/>
    <n v="40"/>
    <x v="4"/>
    <n v="110"/>
    <x v="4"/>
    <s v="Very Low"/>
    <n v="200"/>
    <n v="80"/>
    <n v="60000000000"/>
    <n v="-90"/>
    <n v="1224.4898000000001"/>
  </r>
  <r>
    <x v="165"/>
    <x v="5"/>
    <x v="14"/>
    <x v="4"/>
    <x v="3"/>
    <n v="13000000"/>
    <n v="30"/>
    <x v="4"/>
    <n v="90"/>
    <x v="4"/>
    <s v="Very Low"/>
    <n v="180"/>
    <n v="8"/>
    <n v="12000000000"/>
    <n v="-90"/>
    <n v="923.07690000000002"/>
  </r>
  <r>
    <x v="166"/>
    <x v="3"/>
    <x v="6"/>
    <x v="4"/>
    <x v="3"/>
    <n v="34000000"/>
    <n v="30"/>
    <x v="4"/>
    <n v="90"/>
    <x v="4"/>
    <s v="Very Low"/>
    <n v="180"/>
    <n v="30"/>
    <n v="28000000000"/>
    <n v="-90"/>
    <n v="823.52940000000001"/>
  </r>
  <r>
    <x v="167"/>
    <x v="3"/>
    <x v="6"/>
    <x v="4"/>
    <x v="3"/>
    <n v="24000000"/>
    <n v="20"/>
    <x v="4"/>
    <n v="60"/>
    <x v="4"/>
    <s v="Very Low"/>
    <n v="180"/>
    <n v="50"/>
    <n v="25000000000"/>
    <n v="-120"/>
    <n v="1041.6667"/>
  </r>
  <r>
    <x v="168"/>
    <x v="4"/>
    <x v="12"/>
    <x v="1"/>
    <x v="1"/>
    <n v="28000000"/>
    <n v="5"/>
    <x v="4"/>
    <n v="30"/>
    <x v="4"/>
    <s v="Very Low"/>
    <n v="250"/>
    <n v="200"/>
    <n v="130000000000"/>
    <n v="-220"/>
    <n v="4642.8571000000002"/>
  </r>
  <r>
    <x v="169"/>
    <x v="2"/>
    <x v="2"/>
    <x v="0"/>
    <x v="0"/>
    <n v="9000000"/>
    <n v="0"/>
    <x v="0"/>
    <n v="4300"/>
    <x v="1"/>
    <s v="Very High"/>
    <n v="2700"/>
    <n v="3"/>
    <n v="690000000000"/>
    <n v="1600"/>
    <n v="76666.666700000002"/>
  </r>
  <r>
    <x v="170"/>
    <x v="2"/>
    <x v="3"/>
    <x v="0"/>
    <x v="0"/>
    <n v="6000000"/>
    <n v="0"/>
    <x v="0"/>
    <n v="4800"/>
    <x v="0"/>
    <s v="Very High"/>
    <n v="3200"/>
    <n v="3"/>
    <n v="470000000000"/>
    <n v="1600"/>
    <n v="78333.333299999998"/>
  </r>
  <r>
    <x v="171"/>
    <x v="2"/>
    <x v="3"/>
    <x v="0"/>
    <x v="0"/>
    <n v="5600000"/>
    <n v="0"/>
    <x v="0"/>
    <n v="4600"/>
    <x v="0"/>
    <s v="Very High"/>
    <n v="3000"/>
    <n v="3"/>
    <n v="330000000000"/>
    <n v="1600"/>
    <n v="58928.571400000001"/>
  </r>
  <r>
    <x v="172"/>
    <x v="2"/>
    <x v="3"/>
    <x v="0"/>
    <x v="0"/>
    <n v="390000"/>
    <n v="0"/>
    <x v="0"/>
    <n v="5600"/>
    <x v="0"/>
    <s v="Very High"/>
    <n v="3500"/>
    <n v="3"/>
    <n v="36000000000"/>
    <n v="2100"/>
    <n v="92307.692299999995"/>
  </r>
  <r>
    <x v="173"/>
    <x v="2"/>
    <x v="8"/>
    <x v="0"/>
    <x v="0"/>
    <n v="59000000"/>
    <n v="0"/>
    <x v="0"/>
    <n v="3200"/>
    <x v="1"/>
    <s v="High"/>
    <n v="2500"/>
    <n v="3"/>
    <n v="2300000000000"/>
    <n v="700"/>
    <n v="38983.050799999997"/>
  </r>
  <r>
    <x v="174"/>
    <x v="3"/>
    <x v="7"/>
    <x v="4"/>
    <x v="3"/>
    <n v="26000000"/>
    <n v="0"/>
    <x v="4"/>
    <n v="0"/>
    <x v="4"/>
    <s v="Very Low"/>
    <n v="180"/>
    <n v="8"/>
    <n v="35000000000"/>
    <n v="-180"/>
    <n v="1346.1538"/>
  </r>
  <r>
    <x v="175"/>
    <x v="2"/>
    <x v="2"/>
    <x v="0"/>
    <x v="0"/>
    <n v="40000"/>
    <n v="0"/>
    <x v="0"/>
    <n v="6500"/>
    <x v="0"/>
    <s v="Very High"/>
    <n v="4200"/>
    <n v="3"/>
    <n v="6000000000"/>
    <n v="2300"/>
    <n v="150000"/>
  </r>
  <r>
    <x v="176"/>
    <x v="2"/>
    <x v="2"/>
    <x v="0"/>
    <x v="0"/>
    <n v="39000"/>
    <n v="0"/>
    <x v="0"/>
    <n v="7500"/>
    <x v="0"/>
    <s v="Very High"/>
    <n v="5000"/>
    <n v="3"/>
    <n v="8000000000"/>
    <n v="2500"/>
    <n v="205128.20509999999"/>
  </r>
  <r>
    <x v="177"/>
    <x v="2"/>
    <x v="3"/>
    <x v="0"/>
    <x v="0"/>
    <n v="5500000"/>
    <n v="0"/>
    <x v="0"/>
    <n v="5600"/>
    <x v="0"/>
    <s v="Very High"/>
    <n v="3500"/>
    <n v="3"/>
    <n v="620000000000"/>
    <n v="2100"/>
    <n v="112727.2727"/>
  </r>
  <r>
    <x v="178"/>
    <x v="5"/>
    <x v="14"/>
    <x v="4"/>
    <x v="3"/>
    <n v="18000000"/>
    <n v="0"/>
    <x v="4"/>
    <n v="0"/>
    <x v="4"/>
    <s v="Very Low"/>
    <n v="180"/>
    <n v="6"/>
    <n v="10000000000"/>
    <n v="-180"/>
    <n v="555.55560000000003"/>
  </r>
  <r>
    <x v="179"/>
    <x v="2"/>
    <x v="3"/>
    <x v="0"/>
    <x v="0"/>
    <n v="10500000"/>
    <n v="0"/>
    <x v="0"/>
    <n v="5200"/>
    <x v="0"/>
    <s v="Very High"/>
    <n v="3200"/>
    <n v="3"/>
    <n v="670000000000"/>
    <n v="2000"/>
    <n v="63809.523800000003"/>
  </r>
  <r>
    <x v="180"/>
    <x v="2"/>
    <x v="2"/>
    <x v="0"/>
    <x v="0"/>
    <n v="9000000"/>
    <n v="0"/>
    <x v="0"/>
    <n v="6500"/>
    <x v="0"/>
    <s v="Very High"/>
    <n v="4200"/>
    <n v="2"/>
    <n v="950000000000"/>
    <n v="2300"/>
    <n v="105555.55560000001"/>
  </r>
  <r>
    <x v="181"/>
    <x v="5"/>
    <x v="15"/>
    <x v="4"/>
    <x v="3"/>
    <n v="600000"/>
    <n v="0"/>
    <x v="4"/>
    <n v="0"/>
    <x v="4"/>
    <s v="Very Low"/>
    <n v="200"/>
    <n v="4"/>
    <n v="3000000000"/>
    <n v="-200"/>
    <n v="5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rowHeaderCaption="Unemployment Level">
  <location ref="A23:D28" firstHeaderRow="0" firstDataRow="1" firstDataCol="1"/>
  <pivotFields count="16">
    <pivotField showAll="0">
      <items count="183">
        <item x="23"/>
        <item x="10"/>
        <item x="4"/>
        <item x="173"/>
        <item x="162"/>
        <item x="134"/>
        <item x="133"/>
        <item x="138"/>
        <item x="153"/>
        <item x="155"/>
        <item x="75"/>
        <item x="113"/>
        <item x="22"/>
        <item x="14"/>
        <item x="139"/>
        <item x="26"/>
        <item x="50"/>
        <item x="98"/>
        <item x="78"/>
        <item x="34"/>
        <item x="0"/>
        <item x="169"/>
        <item x="99"/>
        <item x="35"/>
        <item x="27"/>
        <item x="137"/>
        <item x="46"/>
        <item x="89"/>
        <item x="5"/>
        <item x="70"/>
        <item x="9"/>
        <item x="114"/>
        <item x="71"/>
        <item x="63"/>
        <item x="79"/>
        <item x="88"/>
        <item x="36"/>
        <item x="51"/>
        <item x="140"/>
        <item x="144"/>
        <item x="165"/>
        <item x="100"/>
        <item x="1"/>
        <item x="90"/>
        <item x="15"/>
        <item x="163"/>
        <item x="156"/>
        <item x="54"/>
        <item x="72"/>
        <item x="73"/>
        <item x="145"/>
        <item x="146"/>
        <item x="119"/>
        <item x="80"/>
        <item x="47"/>
        <item x="130"/>
        <item x="37"/>
        <item x="157"/>
        <item x="28"/>
        <item x="38"/>
        <item x="170"/>
        <item x="101"/>
        <item x="64"/>
        <item x="65"/>
        <item x="115"/>
        <item x="59"/>
        <item x="120"/>
        <item x="69"/>
        <item x="102"/>
        <item x="158"/>
        <item x="29"/>
        <item x="147"/>
        <item x="121"/>
        <item x="171"/>
        <item x="91"/>
        <item x="148"/>
        <item x="81"/>
        <item x="32"/>
        <item x="55"/>
        <item x="60"/>
        <item x="141"/>
        <item x="149"/>
        <item x="56"/>
        <item x="122"/>
        <item x="74"/>
        <item x="39"/>
        <item x="44"/>
        <item x="172"/>
        <item x="127"/>
        <item x="103"/>
        <item x="104"/>
        <item x="82"/>
        <item x="6"/>
        <item x="12"/>
        <item x="83"/>
        <item x="18"/>
        <item x="76"/>
        <item x="92"/>
        <item x="118"/>
        <item x="123"/>
        <item x="174"/>
        <item x="13"/>
        <item x="16"/>
        <item x="105"/>
        <item x="110"/>
        <item x="45"/>
        <item x="159"/>
        <item x="116"/>
        <item x="131"/>
        <item x="84"/>
        <item x="175"/>
        <item x="40"/>
        <item x="2"/>
        <item x="150"/>
        <item x="160"/>
        <item x="66"/>
        <item x="57"/>
        <item x="142"/>
        <item x="30"/>
        <item x="61"/>
        <item x="67"/>
        <item x="93"/>
        <item x="176"/>
        <item x="94"/>
        <item x="77"/>
        <item x="151"/>
        <item x="106"/>
        <item x="124"/>
        <item x="7"/>
        <item x="3"/>
        <item x="107"/>
        <item x="161"/>
        <item x="177"/>
        <item x="24"/>
        <item x="117"/>
        <item x="48"/>
        <item x="128"/>
        <item x="85"/>
        <item x="62"/>
        <item x="111"/>
        <item x="33"/>
        <item x="31"/>
        <item x="17"/>
        <item x="41"/>
        <item x="86"/>
        <item x="135"/>
        <item x="19"/>
        <item x="132"/>
        <item x="58"/>
        <item x="152"/>
        <item x="11"/>
        <item x="42"/>
        <item x="25"/>
        <item x="178"/>
        <item x="95"/>
        <item x="125"/>
        <item x="164"/>
        <item x="87"/>
        <item x="179"/>
        <item x="180"/>
        <item x="167"/>
        <item x="43"/>
        <item x="143"/>
        <item x="96"/>
        <item x="49"/>
        <item x="97"/>
        <item x="52"/>
        <item x="108"/>
        <item x="154"/>
        <item x="109"/>
        <item x="20"/>
        <item x="8"/>
        <item x="21"/>
        <item x="53"/>
        <item x="126"/>
        <item x="168"/>
        <item x="112"/>
        <item x="68"/>
        <item x="181"/>
        <item x="166"/>
        <item x="136"/>
        <item x="129"/>
        <item t="default"/>
      </items>
    </pivotField>
    <pivotField showAll="0">
      <items count="7">
        <item x="5"/>
        <item x="3"/>
        <item x="2"/>
        <item x="1"/>
        <item x="0"/>
        <item x="4"/>
        <item t="default"/>
      </items>
    </pivotField>
    <pivotField showAll="0" sortType="ascending">
      <items count="23">
        <item x="0"/>
        <item x="4"/>
        <item x="18"/>
        <item x="11"/>
        <item x="19"/>
        <item x="14"/>
        <item x="7"/>
        <item x="10"/>
        <item x="20"/>
        <item x="21"/>
        <item x="15"/>
        <item x="1"/>
        <item x="3"/>
        <item x="9"/>
        <item x="12"/>
        <item x="13"/>
        <item x="5"/>
        <item x="16"/>
        <item x="8"/>
        <item x="17"/>
        <item x="6"/>
        <item x="2"/>
        <item t="default"/>
      </items>
    </pivotField>
    <pivotField showAll="0">
      <items count="6">
        <item x="3"/>
        <item x="4"/>
        <item x="1"/>
        <item x="2"/>
        <item x="0"/>
        <item t="default"/>
      </items>
    </pivotField>
    <pivotField showAll="0">
      <items count="5">
        <item x="1"/>
        <item x="0"/>
        <item x="2"/>
        <item x="3"/>
        <item t="default"/>
      </items>
    </pivotField>
    <pivotField dataField="1" numFmtId="1" showAll="0"/>
    <pivotField dataField="1" numFmtId="164" showAll="0"/>
    <pivotField showAll="0">
      <items count="6">
        <item x="1"/>
        <item x="3"/>
        <item x="2"/>
        <item x="0"/>
        <item x="4"/>
        <item t="default"/>
      </items>
    </pivotField>
    <pivotField dataField="1" numFmtId="164" showAll="0"/>
    <pivotField axis="axisRow" showAll="0">
      <items count="6">
        <item x="1"/>
        <item x="3"/>
        <item x="2"/>
        <item x="0"/>
        <item x="4"/>
        <item t="default"/>
      </items>
    </pivotField>
    <pivotField showAll="0"/>
    <pivotField numFmtId="164" showAll="0"/>
    <pivotField numFmtId="1" showAll="0"/>
    <pivotField numFmtId="164" showAll="0"/>
    <pivotField numFmtId="164" showAll="0"/>
    <pivotField numFmtId="164" showAll="0"/>
  </pivotFields>
  <rowFields count="1">
    <field x="9"/>
  </rowFields>
  <rowItems count="5">
    <i>
      <x/>
    </i>
    <i>
      <x v="1"/>
    </i>
    <i>
      <x v="2"/>
    </i>
    <i>
      <x v="3"/>
    </i>
    <i>
      <x v="4"/>
    </i>
  </rowItems>
  <colFields count="1">
    <field x="-2"/>
  </colFields>
  <colItems count="3">
    <i>
      <x/>
    </i>
    <i i="1">
      <x v="1"/>
    </i>
    <i i="2">
      <x v="2"/>
    </i>
  </colItems>
  <dataFields count="3">
    <dataField name="Sum of Average_Monthly_Salary(USD)" fld="8" baseField="0" baseItem="0"/>
    <dataField name="Sum of Monthly_wage(USD)" fld="6" baseField="0" baseItem="0"/>
    <dataField name="Sum of Population" fld="5" baseField="0" baseItem="0" numFmtId="3"/>
  </dataFields>
  <formats count="31">
    <format dxfId="30">
      <pivotArea type="all" dataOnly="0" outline="0" fieldPosition="0"/>
    </format>
    <format dxfId="29">
      <pivotArea outline="0" collapsedLevelsAreSubtotals="1" fieldPosition="0"/>
    </format>
    <format dxfId="28">
      <pivotArea field="2" type="button" dataOnly="0" labelOnly="1" outline="0"/>
    </format>
    <format dxfId="27">
      <pivotArea dataOnly="0" labelOnly="1" grandRow="1" outline="0" fieldPosition="0"/>
    </format>
    <format dxfId="26">
      <pivotArea field="2" type="button" dataOnly="0" labelOnly="1" outline="0"/>
    </format>
    <format dxfId="25">
      <pivotArea type="all" dataOnly="0" outline="0" fieldPosition="0"/>
    </format>
    <format dxfId="24">
      <pivotArea field="2" type="button" dataOnly="0" labelOnly="1" outline="0"/>
    </format>
    <format dxfId="23">
      <pivotArea field="2" type="button" dataOnly="0" labelOnly="1" outline="0"/>
    </format>
    <format dxfId="22">
      <pivotArea dataOnly="0" labelOnly="1" outline="0" axis="axisValues" fieldPosition="0"/>
    </format>
    <format dxfId="21">
      <pivotArea dataOnly="0" labelOnly="1" outline="0" axis="axisValues" fieldPosition="0"/>
    </format>
    <format dxfId="20">
      <pivotArea outline="0" collapsedLevelsAreSubtotals="1" fieldPosition="0"/>
    </format>
    <format dxfId="19">
      <pivotArea dataOnly="0" labelOnly="1" outline="0" axis="axisValues" fieldPosition="0"/>
    </format>
    <format dxfId="18">
      <pivotArea dataOnly="0" labelOnly="1" outline="0" axis="axisValues" fieldPosition="0"/>
    </format>
    <format dxfId="17">
      <pivotArea type="all" dataOnly="0" outline="0" fieldPosition="0"/>
    </format>
    <format dxfId="16">
      <pivotArea outline="0" collapsedLevelsAreSubtotals="1" fieldPosition="0"/>
    </format>
    <format dxfId="15">
      <pivotArea field="2" type="button" dataOnly="0" labelOnly="1" outline="0"/>
    </format>
    <format dxfId="14">
      <pivotArea dataOnly="0" labelOnly="1" outline="0" axis="axisValues" fieldPosition="0"/>
    </format>
    <format dxfId="13">
      <pivotArea dataOnly="0" labelOnly="1" outline="0" axis="axisValues" fieldPosition="0"/>
    </format>
    <format dxfId="12">
      <pivotArea type="all" dataOnly="0" outline="0" fieldPosition="0"/>
    </format>
    <format dxfId="11">
      <pivotArea outline="0" collapsedLevelsAreSubtotals="1" fieldPosition="0"/>
    </format>
    <format dxfId="10">
      <pivotArea field="2" type="button" dataOnly="0" labelOnly="1" outline="0"/>
    </format>
    <format dxfId="9">
      <pivotArea dataOnly="0" labelOnly="1" outline="0" axis="axisValues" fieldPosition="0"/>
    </format>
    <format dxfId="8">
      <pivotArea dataOnly="0" labelOnly="1" outline="0" axis="axisValues" fieldPosition="0"/>
    </format>
    <format dxfId="7">
      <pivotArea type="all" dataOnly="0" outline="0" fieldPosition="0"/>
    </format>
    <format dxfId="6">
      <pivotArea outline="0" collapsedLevelsAreSubtotals="1" fieldPosition="0"/>
    </format>
    <format dxfId="5">
      <pivotArea field="2" type="button" dataOnly="0" labelOnly="1" outline="0"/>
    </format>
    <format dxfId="4">
      <pivotArea dataOnly="0" labelOnly="1" outline="0" axis="axisValues" fieldPosition="0"/>
    </format>
    <format dxfId="3">
      <pivotArea dataOnly="0" labelOnly="1" outline="0" axis="axisValues" fieldPosition="0"/>
    </format>
    <format dxfId="2">
      <pivotArea type="all" dataOnly="0" outline="0" fieldPosition="0"/>
    </format>
    <format dxfId="1">
      <pivotArea outline="0" collapsedLevelsAreSubtotals="1" fieldPosition="0"/>
    </format>
    <format dxfId="0">
      <pivotArea outline="0" collapsedLevelsAreSubtotals="1" fieldPosition="0">
        <references count="1">
          <reference field="4294967294" count="1" selected="0">
            <x v="2"/>
          </reference>
        </references>
      </pivotArea>
    </format>
  </formats>
  <pivotTableStyleInfo name="PivotStyleLight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rowHeaderCaption="Unemployment Level">
  <location ref="A14:C18" firstHeaderRow="0" firstDataRow="1" firstDataCol="1"/>
  <pivotFields count="16">
    <pivotField dataField="1" showAll="0">
      <items count="183">
        <item x="23"/>
        <item x="10"/>
        <item x="4"/>
        <item x="173"/>
        <item x="162"/>
        <item x="134"/>
        <item x="133"/>
        <item x="138"/>
        <item x="153"/>
        <item x="155"/>
        <item x="75"/>
        <item x="113"/>
        <item x="22"/>
        <item x="14"/>
        <item x="139"/>
        <item x="26"/>
        <item x="50"/>
        <item x="98"/>
        <item x="78"/>
        <item x="34"/>
        <item x="0"/>
        <item x="169"/>
        <item x="99"/>
        <item x="35"/>
        <item x="27"/>
        <item x="137"/>
        <item x="46"/>
        <item x="89"/>
        <item x="5"/>
        <item x="70"/>
        <item x="9"/>
        <item x="114"/>
        <item x="71"/>
        <item x="63"/>
        <item x="79"/>
        <item x="88"/>
        <item x="36"/>
        <item x="51"/>
        <item x="140"/>
        <item x="144"/>
        <item x="165"/>
        <item x="100"/>
        <item x="1"/>
        <item x="90"/>
        <item x="15"/>
        <item x="163"/>
        <item x="156"/>
        <item x="54"/>
        <item x="72"/>
        <item x="73"/>
        <item x="145"/>
        <item x="146"/>
        <item x="119"/>
        <item x="80"/>
        <item x="47"/>
        <item x="130"/>
        <item x="37"/>
        <item x="157"/>
        <item x="28"/>
        <item x="38"/>
        <item x="170"/>
        <item x="101"/>
        <item x="64"/>
        <item x="65"/>
        <item x="115"/>
        <item x="59"/>
        <item x="120"/>
        <item x="69"/>
        <item x="102"/>
        <item x="158"/>
        <item x="29"/>
        <item x="147"/>
        <item x="121"/>
        <item x="171"/>
        <item x="91"/>
        <item x="148"/>
        <item x="81"/>
        <item x="32"/>
        <item x="55"/>
        <item x="60"/>
        <item x="141"/>
        <item x="149"/>
        <item x="56"/>
        <item x="122"/>
        <item x="74"/>
        <item x="39"/>
        <item x="44"/>
        <item x="172"/>
        <item x="127"/>
        <item x="103"/>
        <item x="104"/>
        <item x="82"/>
        <item x="6"/>
        <item x="12"/>
        <item x="83"/>
        <item x="18"/>
        <item x="76"/>
        <item x="92"/>
        <item x="118"/>
        <item x="123"/>
        <item x="174"/>
        <item x="13"/>
        <item x="16"/>
        <item x="105"/>
        <item x="110"/>
        <item x="45"/>
        <item x="159"/>
        <item x="116"/>
        <item x="131"/>
        <item x="84"/>
        <item x="175"/>
        <item x="40"/>
        <item x="2"/>
        <item x="150"/>
        <item x="160"/>
        <item x="66"/>
        <item x="57"/>
        <item x="142"/>
        <item x="30"/>
        <item x="61"/>
        <item x="67"/>
        <item x="93"/>
        <item x="176"/>
        <item x="94"/>
        <item x="77"/>
        <item x="151"/>
        <item x="106"/>
        <item x="124"/>
        <item x="7"/>
        <item x="3"/>
        <item x="107"/>
        <item x="161"/>
        <item x="177"/>
        <item x="24"/>
        <item x="117"/>
        <item x="48"/>
        <item x="128"/>
        <item x="85"/>
        <item x="62"/>
        <item x="111"/>
        <item x="33"/>
        <item x="31"/>
        <item x="17"/>
        <item x="41"/>
        <item x="86"/>
        <item x="135"/>
        <item x="19"/>
        <item x="132"/>
        <item x="58"/>
        <item x="152"/>
        <item x="11"/>
        <item x="42"/>
        <item x="25"/>
        <item x="178"/>
        <item x="95"/>
        <item x="125"/>
        <item x="164"/>
        <item x="87"/>
        <item x="179"/>
        <item x="180"/>
        <item x="167"/>
        <item x="43"/>
        <item x="143"/>
        <item x="96"/>
        <item x="49"/>
        <item x="97"/>
        <item x="52"/>
        <item x="108"/>
        <item x="154"/>
        <item x="109"/>
        <item x="20"/>
        <item x="8"/>
        <item x="21"/>
        <item x="53"/>
        <item x="126"/>
        <item x="168"/>
        <item x="112"/>
        <item x="68"/>
        <item x="181"/>
        <item x="166"/>
        <item x="136"/>
        <item x="129"/>
        <item t="default"/>
      </items>
    </pivotField>
    <pivotField showAll="0">
      <items count="7">
        <item x="5"/>
        <item x="3"/>
        <item x="2"/>
        <item x="1"/>
        <item x="0"/>
        <item x="4"/>
        <item t="default"/>
      </items>
    </pivotField>
    <pivotField showAll="0" sortType="ascending">
      <items count="23">
        <item x="0"/>
        <item x="4"/>
        <item x="18"/>
        <item x="11"/>
        <item x="19"/>
        <item x="14"/>
        <item x="7"/>
        <item x="10"/>
        <item x="20"/>
        <item x="21"/>
        <item x="15"/>
        <item x="1"/>
        <item x="3"/>
        <item x="9"/>
        <item x="12"/>
        <item x="13"/>
        <item x="5"/>
        <item x="16"/>
        <item x="8"/>
        <item x="17"/>
        <item x="6"/>
        <item x="2"/>
        <item t="default"/>
      </items>
    </pivotField>
    <pivotField showAll="0">
      <items count="6">
        <item x="3"/>
        <item x="4"/>
        <item x="1"/>
        <item x="2"/>
        <item x="0"/>
        <item t="default"/>
      </items>
    </pivotField>
    <pivotField axis="axisRow" showAll="0">
      <items count="5">
        <item x="1"/>
        <item x="0"/>
        <item x="2"/>
        <item x="3"/>
        <item t="default"/>
      </items>
    </pivotField>
    <pivotField dataField="1" numFmtId="1" showAll="0"/>
    <pivotField numFmtId="164" showAll="0"/>
    <pivotField showAll="0">
      <items count="6">
        <item x="1"/>
        <item x="3"/>
        <item x="2"/>
        <item x="0"/>
        <item x="4"/>
        <item t="default"/>
      </items>
    </pivotField>
    <pivotField numFmtId="164" showAll="0"/>
    <pivotField showAll="0"/>
    <pivotField showAll="0"/>
    <pivotField numFmtId="164" showAll="0"/>
    <pivotField numFmtId="1" showAll="0"/>
    <pivotField numFmtId="164" showAll="0"/>
    <pivotField numFmtId="164" showAll="0"/>
    <pivotField numFmtId="164" showAll="0"/>
  </pivotFields>
  <rowFields count="1">
    <field x="4"/>
  </rowFields>
  <rowItems count="4">
    <i>
      <x/>
    </i>
    <i>
      <x v="1"/>
    </i>
    <i>
      <x v="2"/>
    </i>
    <i>
      <x v="3"/>
    </i>
  </rowItems>
  <colFields count="1">
    <field x="-2"/>
  </colFields>
  <colItems count="2">
    <i>
      <x/>
    </i>
    <i i="1">
      <x v="1"/>
    </i>
  </colItems>
  <dataFields count="2">
    <dataField name="Sum of Population" fld="5" baseField="0" baseItem="0"/>
    <dataField name="Count of Country" fld="0" subtotal="count" baseField="0" baseItem="0"/>
  </dataFields>
  <formats count="31">
    <format dxfId="61">
      <pivotArea type="all" dataOnly="0" outline="0" fieldPosition="0"/>
    </format>
    <format dxfId="60">
      <pivotArea outline="0" collapsedLevelsAreSubtotals="1" fieldPosition="0"/>
    </format>
    <format dxfId="59">
      <pivotArea field="2" type="button" dataOnly="0" labelOnly="1" outline="0"/>
    </format>
    <format dxfId="58">
      <pivotArea dataOnly="0" labelOnly="1" grandRow="1" outline="0" fieldPosition="0"/>
    </format>
    <format dxfId="57">
      <pivotArea field="2" type="button" dataOnly="0" labelOnly="1" outline="0"/>
    </format>
    <format dxfId="56">
      <pivotArea type="all" dataOnly="0" outline="0" fieldPosition="0"/>
    </format>
    <format dxfId="55">
      <pivotArea field="2" type="button" dataOnly="0" labelOnly="1" outline="0"/>
    </format>
    <format dxfId="54">
      <pivotArea field="2" type="button" dataOnly="0" labelOnly="1" outline="0"/>
    </format>
    <format dxfId="53">
      <pivotArea dataOnly="0" labelOnly="1" outline="0" axis="axisValues" fieldPosition="0"/>
    </format>
    <format dxfId="52">
      <pivotArea dataOnly="0" labelOnly="1" outline="0" axis="axisValues" fieldPosition="0"/>
    </format>
    <format dxfId="51">
      <pivotArea outline="0" collapsedLevelsAreSubtotals="1" fieldPosition="0"/>
    </format>
    <format dxfId="50">
      <pivotArea dataOnly="0" labelOnly="1" outline="0" axis="axisValues" fieldPosition="0"/>
    </format>
    <format dxfId="49">
      <pivotArea dataOnly="0" labelOnly="1" outline="0" axis="axisValues" fieldPosition="0"/>
    </format>
    <format dxfId="48">
      <pivotArea type="all" dataOnly="0" outline="0" fieldPosition="0"/>
    </format>
    <format dxfId="47">
      <pivotArea outline="0" collapsedLevelsAreSubtotals="1" fieldPosition="0"/>
    </format>
    <format dxfId="46">
      <pivotArea field="2" type="button" dataOnly="0" labelOnly="1" outline="0"/>
    </format>
    <format dxfId="45">
      <pivotArea dataOnly="0" labelOnly="1" outline="0" axis="axisValues" fieldPosition="0"/>
    </format>
    <format dxfId="44">
      <pivotArea dataOnly="0" labelOnly="1" outline="0" axis="axisValues" fieldPosition="0"/>
    </format>
    <format dxfId="43">
      <pivotArea type="all" dataOnly="0" outline="0" fieldPosition="0"/>
    </format>
    <format dxfId="42">
      <pivotArea outline="0" collapsedLevelsAreSubtotals="1" fieldPosition="0"/>
    </format>
    <format dxfId="41">
      <pivotArea field="2" type="button" dataOnly="0" labelOnly="1" outline="0"/>
    </format>
    <format dxfId="40">
      <pivotArea dataOnly="0" labelOnly="1" outline="0" axis="axisValues" fieldPosition="0"/>
    </format>
    <format dxfId="39">
      <pivotArea dataOnly="0" labelOnly="1" outline="0" axis="axisValues" fieldPosition="0"/>
    </format>
    <format dxfId="38">
      <pivotArea type="all" dataOnly="0" outline="0" fieldPosition="0"/>
    </format>
    <format dxfId="37">
      <pivotArea outline="0" collapsedLevelsAreSubtotals="1" fieldPosition="0"/>
    </format>
    <format dxfId="36">
      <pivotArea field="2" type="button" dataOnly="0" labelOnly="1" outline="0"/>
    </format>
    <format dxfId="35">
      <pivotArea dataOnly="0" labelOnly="1" outline="0" axis="axisValues" fieldPosition="0"/>
    </format>
    <format dxfId="34">
      <pivotArea dataOnly="0" labelOnly="1" outline="0" axis="axisValues" fieldPosition="0"/>
    </format>
    <format dxfId="33">
      <pivotArea type="all" dataOnly="0" outline="0" fieldPosition="0"/>
    </format>
    <format dxfId="32">
      <pivotArea outline="0" collapsedLevelsAreSubtotals="1" fieldPosition="0"/>
    </format>
    <format dxfId="31">
      <pivotArea outline="0" collapsedLevelsAreSubtotals="1" fieldPosition="0"/>
    </format>
  </formats>
  <pivotTableStyleInfo name="PivotStyleLight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2"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8" rowHeaderCaption="Continent">
  <location ref="A44:C50" firstHeaderRow="0" firstDataRow="1" firstDataCol="1"/>
  <pivotFields count="16">
    <pivotField showAll="0">
      <items count="183">
        <item x="23"/>
        <item x="10"/>
        <item x="4"/>
        <item x="173"/>
        <item x="162"/>
        <item x="134"/>
        <item x="133"/>
        <item x="138"/>
        <item x="153"/>
        <item x="155"/>
        <item x="75"/>
        <item x="113"/>
        <item x="22"/>
        <item x="14"/>
        <item x="139"/>
        <item x="26"/>
        <item x="50"/>
        <item x="98"/>
        <item x="78"/>
        <item x="34"/>
        <item x="0"/>
        <item x="169"/>
        <item x="99"/>
        <item x="35"/>
        <item x="27"/>
        <item x="137"/>
        <item x="46"/>
        <item x="89"/>
        <item x="5"/>
        <item x="70"/>
        <item x="9"/>
        <item x="114"/>
        <item x="71"/>
        <item x="63"/>
        <item x="79"/>
        <item x="88"/>
        <item x="36"/>
        <item x="51"/>
        <item x="140"/>
        <item x="144"/>
        <item x="165"/>
        <item x="100"/>
        <item x="1"/>
        <item x="90"/>
        <item x="15"/>
        <item x="163"/>
        <item x="156"/>
        <item x="54"/>
        <item x="72"/>
        <item x="73"/>
        <item x="145"/>
        <item x="146"/>
        <item x="119"/>
        <item x="80"/>
        <item x="47"/>
        <item x="130"/>
        <item x="37"/>
        <item x="157"/>
        <item x="28"/>
        <item x="38"/>
        <item x="170"/>
        <item x="101"/>
        <item x="64"/>
        <item x="65"/>
        <item x="115"/>
        <item x="59"/>
        <item x="120"/>
        <item x="69"/>
        <item x="102"/>
        <item x="158"/>
        <item x="29"/>
        <item x="147"/>
        <item x="121"/>
        <item x="171"/>
        <item x="91"/>
        <item x="148"/>
        <item x="81"/>
        <item x="32"/>
        <item x="55"/>
        <item x="60"/>
        <item x="141"/>
        <item x="149"/>
        <item x="56"/>
        <item x="122"/>
        <item x="74"/>
        <item x="39"/>
        <item x="44"/>
        <item x="172"/>
        <item x="127"/>
        <item x="103"/>
        <item x="104"/>
        <item x="82"/>
        <item x="6"/>
        <item x="12"/>
        <item x="83"/>
        <item x="18"/>
        <item x="76"/>
        <item x="92"/>
        <item x="118"/>
        <item x="123"/>
        <item x="174"/>
        <item x="13"/>
        <item x="16"/>
        <item x="105"/>
        <item x="110"/>
        <item x="45"/>
        <item x="159"/>
        <item x="116"/>
        <item x="131"/>
        <item x="84"/>
        <item x="175"/>
        <item x="40"/>
        <item x="2"/>
        <item x="150"/>
        <item x="160"/>
        <item x="66"/>
        <item x="57"/>
        <item x="142"/>
        <item x="30"/>
        <item x="61"/>
        <item x="67"/>
        <item x="93"/>
        <item x="176"/>
        <item x="94"/>
        <item x="77"/>
        <item x="151"/>
        <item x="106"/>
        <item x="124"/>
        <item x="7"/>
        <item x="3"/>
        <item x="107"/>
        <item x="161"/>
        <item x="177"/>
        <item x="24"/>
        <item x="117"/>
        <item x="48"/>
        <item x="128"/>
        <item x="85"/>
        <item x="62"/>
        <item x="111"/>
        <item x="33"/>
        <item x="31"/>
        <item x="17"/>
        <item x="41"/>
        <item x="86"/>
        <item x="135"/>
        <item x="19"/>
        <item x="132"/>
        <item x="58"/>
        <item x="152"/>
        <item x="11"/>
        <item x="42"/>
        <item x="25"/>
        <item x="178"/>
        <item x="95"/>
        <item x="125"/>
        <item x="164"/>
        <item x="87"/>
        <item x="179"/>
        <item x="180"/>
        <item x="167"/>
        <item x="43"/>
        <item x="143"/>
        <item x="96"/>
        <item x="49"/>
        <item x="97"/>
        <item x="52"/>
        <item x="108"/>
        <item x="154"/>
        <item x="109"/>
        <item x="20"/>
        <item x="8"/>
        <item x="21"/>
        <item x="53"/>
        <item x="126"/>
        <item x="168"/>
        <item x="112"/>
        <item x="68"/>
        <item x="181"/>
        <item x="166"/>
        <item x="136"/>
        <item x="129"/>
        <item t="default"/>
      </items>
    </pivotField>
    <pivotField axis="axisRow" showAll="0">
      <items count="7">
        <item x="5"/>
        <item x="3"/>
        <item x="2"/>
        <item x="1"/>
        <item x="0"/>
        <item x="4"/>
        <item t="default"/>
      </items>
    </pivotField>
    <pivotField showAll="0" sortType="ascending">
      <items count="23">
        <item x="0"/>
        <item x="4"/>
        <item x="18"/>
        <item x="11"/>
        <item x="19"/>
        <item x="14"/>
        <item x="7"/>
        <item x="10"/>
        <item x="20"/>
        <item x="21"/>
        <item x="15"/>
        <item x="1"/>
        <item x="3"/>
        <item x="9"/>
        <item x="12"/>
        <item x="13"/>
        <item x="5"/>
        <item x="16"/>
        <item x="8"/>
        <item x="17"/>
        <item x="6"/>
        <item x="2"/>
        <item t="default"/>
      </items>
    </pivotField>
    <pivotField showAll="0">
      <items count="6">
        <item x="3"/>
        <item x="4"/>
        <item x="1"/>
        <item x="2"/>
        <item x="0"/>
        <item t="default"/>
      </items>
    </pivotField>
    <pivotField showAll="0">
      <items count="5">
        <item x="1"/>
        <item x="0"/>
        <item x="2"/>
        <item x="3"/>
        <item t="default"/>
      </items>
    </pivotField>
    <pivotField dataField="1" numFmtId="1" showAll="0"/>
    <pivotField dataField="1" numFmtId="164" showAll="0"/>
    <pivotField showAll="0">
      <items count="6">
        <item x="1"/>
        <item x="3"/>
        <item x="2"/>
        <item x="0"/>
        <item x="4"/>
        <item t="default"/>
      </items>
    </pivotField>
    <pivotField numFmtId="164" showAll="0"/>
    <pivotField showAll="0"/>
    <pivotField showAll="0"/>
    <pivotField numFmtId="164" showAll="0"/>
    <pivotField numFmtId="1" showAll="0"/>
    <pivotField numFmtId="164" showAll="0"/>
    <pivotField numFmtId="164" showAll="0"/>
    <pivotField numFmtId="164" showAll="0"/>
  </pivotFields>
  <rowFields count="1">
    <field x="1"/>
  </rowFields>
  <rowItems count="6">
    <i>
      <x/>
    </i>
    <i>
      <x v="1"/>
    </i>
    <i>
      <x v="2"/>
    </i>
    <i>
      <x v="3"/>
    </i>
    <i>
      <x v="4"/>
    </i>
    <i>
      <x v="5"/>
    </i>
  </rowItems>
  <colFields count="1">
    <field x="-2"/>
  </colFields>
  <colItems count="2">
    <i>
      <x/>
    </i>
    <i i="1">
      <x v="1"/>
    </i>
  </colItems>
  <dataFields count="2">
    <dataField name="Average Population" fld="5" subtotal="average" baseField="1" baseItem="0" numFmtId="3"/>
    <dataField name="Average Monthly_wage(USD)" fld="6" subtotal="average" baseField="1" baseItem="0"/>
  </dataFields>
  <formats count="31">
    <format dxfId="92">
      <pivotArea type="all" dataOnly="0" outline="0" fieldPosition="0"/>
    </format>
    <format dxfId="91">
      <pivotArea outline="0" collapsedLevelsAreSubtotals="1" fieldPosition="0"/>
    </format>
    <format dxfId="90">
      <pivotArea field="2" type="button" dataOnly="0" labelOnly="1" outline="0"/>
    </format>
    <format dxfId="89">
      <pivotArea dataOnly="0" labelOnly="1" grandRow="1" outline="0" fieldPosition="0"/>
    </format>
    <format dxfId="88">
      <pivotArea field="2" type="button" dataOnly="0" labelOnly="1" outline="0"/>
    </format>
    <format dxfId="87">
      <pivotArea type="all" dataOnly="0" outline="0" fieldPosition="0"/>
    </format>
    <format dxfId="86">
      <pivotArea field="2" type="button" dataOnly="0" labelOnly="1" outline="0"/>
    </format>
    <format dxfId="85">
      <pivotArea field="2" type="button" dataOnly="0" labelOnly="1" outline="0"/>
    </format>
    <format dxfId="84">
      <pivotArea dataOnly="0" labelOnly="1" outline="0" axis="axisValues" fieldPosition="0"/>
    </format>
    <format dxfId="83">
      <pivotArea dataOnly="0" labelOnly="1" outline="0" axis="axisValues" fieldPosition="0"/>
    </format>
    <format dxfId="82">
      <pivotArea outline="0" collapsedLevelsAreSubtotals="1" fieldPosition="0"/>
    </format>
    <format dxfId="81">
      <pivotArea dataOnly="0" labelOnly="1" outline="0" axis="axisValues" fieldPosition="0"/>
    </format>
    <format dxfId="80">
      <pivotArea dataOnly="0" labelOnly="1" outline="0" axis="axisValues" fieldPosition="0"/>
    </format>
    <format dxfId="79">
      <pivotArea type="all" dataOnly="0" outline="0" fieldPosition="0"/>
    </format>
    <format dxfId="78">
      <pivotArea outline="0" collapsedLevelsAreSubtotals="1" fieldPosition="0"/>
    </format>
    <format dxfId="77">
      <pivotArea field="2" type="button" dataOnly="0" labelOnly="1" outline="0"/>
    </format>
    <format dxfId="76">
      <pivotArea dataOnly="0" labelOnly="1" outline="0" axis="axisValues" fieldPosition="0"/>
    </format>
    <format dxfId="75">
      <pivotArea dataOnly="0" labelOnly="1" outline="0" axis="axisValues" fieldPosition="0"/>
    </format>
    <format dxfId="74">
      <pivotArea type="all" dataOnly="0" outline="0" fieldPosition="0"/>
    </format>
    <format dxfId="73">
      <pivotArea outline="0" collapsedLevelsAreSubtotals="1" fieldPosition="0"/>
    </format>
    <format dxfId="72">
      <pivotArea field="2" type="button" dataOnly="0" labelOnly="1" outline="0"/>
    </format>
    <format dxfId="71">
      <pivotArea dataOnly="0" labelOnly="1" outline="0" axis="axisValues" fieldPosition="0"/>
    </format>
    <format dxfId="70">
      <pivotArea dataOnly="0" labelOnly="1" outline="0" axis="axisValues" fieldPosition="0"/>
    </format>
    <format dxfId="69">
      <pivotArea type="all" dataOnly="0" outline="0" fieldPosition="0"/>
    </format>
    <format dxfId="68">
      <pivotArea outline="0" collapsedLevelsAreSubtotals="1" fieldPosition="0"/>
    </format>
    <format dxfId="67">
      <pivotArea field="2" type="button" dataOnly="0" labelOnly="1" outline="0"/>
    </format>
    <format dxfId="66">
      <pivotArea dataOnly="0" labelOnly="1" outline="0" axis="axisValues" fieldPosition="0"/>
    </format>
    <format dxfId="65">
      <pivotArea dataOnly="0" labelOnly="1" outline="0" axis="axisValues" fieldPosition="0"/>
    </format>
    <format dxfId="64">
      <pivotArea type="all" dataOnly="0" outline="0" fieldPosition="0"/>
    </format>
    <format dxfId="63">
      <pivotArea outline="0" collapsedLevelsAreSubtotals="1" fieldPosition="0"/>
    </format>
    <format dxfId="62">
      <pivotArea outline="0" collapsedLevelsAreSubtotals="1" fieldPosition="0">
        <references count="1">
          <reference field="4294967294" count="1" selected="0">
            <x v="0"/>
          </reference>
        </references>
      </pivotArea>
    </format>
  </formats>
  <chartFormats count="1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5" format="6">
      <pivotArea type="data" outline="0" fieldPosition="0">
        <references count="2">
          <reference field="4294967294" count="1" selected="0">
            <x v="1"/>
          </reference>
          <reference field="1" count="1" selected="0">
            <x v="0"/>
          </reference>
        </references>
      </pivotArea>
    </chartFormat>
    <chartFormat chart="7" format="10" series="1">
      <pivotArea type="data" outline="0" fieldPosition="0">
        <references count="1">
          <reference field="4294967294" count="1" selected="0">
            <x v="0"/>
          </reference>
        </references>
      </pivotArea>
    </chartFormat>
    <chartFormat chart="7" format="11" series="1">
      <pivotArea type="data" outline="0" fieldPosition="0">
        <references count="1">
          <reference field="4294967294" count="1" selected="0">
            <x v="1"/>
          </reference>
        </references>
      </pivotArea>
    </chartFormat>
    <chartFormat chart="7" format="12">
      <pivotArea type="data" outline="0" fieldPosition="0">
        <references count="2">
          <reference field="4294967294" count="1" selected="0">
            <x v="1"/>
          </reference>
          <reference field="1" count="1" selected="0">
            <x v="0"/>
          </reference>
        </references>
      </pivotArea>
    </chartFormat>
  </chartFormats>
  <pivotTableStyleInfo name="PivotStyleLight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rowHeaderCaption="Development Level">
  <location ref="A5:B10" firstHeaderRow="1" firstDataRow="1" firstDataCol="1"/>
  <pivotFields count="16">
    <pivotField showAll="0">
      <items count="183">
        <item x="23"/>
        <item x="10"/>
        <item x="4"/>
        <item x="173"/>
        <item x="162"/>
        <item x="134"/>
        <item x="133"/>
        <item x="138"/>
        <item x="153"/>
        <item x="155"/>
        <item x="75"/>
        <item x="113"/>
        <item x="22"/>
        <item x="14"/>
        <item x="139"/>
        <item x="26"/>
        <item x="50"/>
        <item x="98"/>
        <item x="78"/>
        <item x="34"/>
        <item x="0"/>
        <item x="169"/>
        <item x="99"/>
        <item x="35"/>
        <item x="27"/>
        <item x="137"/>
        <item x="46"/>
        <item x="89"/>
        <item x="5"/>
        <item x="70"/>
        <item x="9"/>
        <item x="114"/>
        <item x="71"/>
        <item x="63"/>
        <item x="79"/>
        <item x="88"/>
        <item x="36"/>
        <item x="51"/>
        <item x="140"/>
        <item x="144"/>
        <item x="165"/>
        <item x="100"/>
        <item x="1"/>
        <item x="90"/>
        <item x="15"/>
        <item x="163"/>
        <item x="156"/>
        <item x="54"/>
        <item x="72"/>
        <item x="73"/>
        <item x="145"/>
        <item x="146"/>
        <item x="119"/>
        <item x="80"/>
        <item x="47"/>
        <item x="130"/>
        <item x="37"/>
        <item x="157"/>
        <item x="28"/>
        <item x="38"/>
        <item x="170"/>
        <item x="101"/>
        <item x="64"/>
        <item x="65"/>
        <item x="115"/>
        <item x="59"/>
        <item x="120"/>
        <item x="69"/>
        <item x="102"/>
        <item x="158"/>
        <item x="29"/>
        <item x="147"/>
        <item x="121"/>
        <item x="171"/>
        <item x="91"/>
        <item x="148"/>
        <item x="81"/>
        <item x="32"/>
        <item x="55"/>
        <item x="60"/>
        <item x="141"/>
        <item x="149"/>
        <item x="56"/>
        <item x="122"/>
        <item x="74"/>
        <item x="39"/>
        <item x="44"/>
        <item x="172"/>
        <item x="127"/>
        <item x="103"/>
        <item x="104"/>
        <item x="82"/>
        <item x="6"/>
        <item x="12"/>
        <item x="83"/>
        <item x="18"/>
        <item x="76"/>
        <item x="92"/>
        <item x="118"/>
        <item x="123"/>
        <item x="174"/>
        <item x="13"/>
        <item x="16"/>
        <item x="105"/>
        <item x="110"/>
        <item x="45"/>
        <item x="159"/>
        <item x="116"/>
        <item x="131"/>
        <item x="84"/>
        <item x="175"/>
        <item x="40"/>
        <item x="2"/>
        <item x="150"/>
        <item x="160"/>
        <item x="66"/>
        <item x="57"/>
        <item x="142"/>
        <item x="30"/>
        <item x="61"/>
        <item x="67"/>
        <item x="93"/>
        <item x="176"/>
        <item x="94"/>
        <item x="77"/>
        <item x="151"/>
        <item x="106"/>
        <item x="124"/>
        <item x="7"/>
        <item x="3"/>
        <item x="107"/>
        <item x="161"/>
        <item x="177"/>
        <item x="24"/>
        <item x="117"/>
        <item x="48"/>
        <item x="128"/>
        <item x="85"/>
        <item x="62"/>
        <item x="111"/>
        <item x="33"/>
        <item x="31"/>
        <item x="17"/>
        <item x="41"/>
        <item x="86"/>
        <item x="135"/>
        <item x="19"/>
        <item x="132"/>
        <item x="58"/>
        <item x="152"/>
        <item x="11"/>
        <item x="42"/>
        <item x="25"/>
        <item x="178"/>
        <item x="95"/>
        <item x="125"/>
        <item x="164"/>
        <item x="87"/>
        <item x="179"/>
        <item x="180"/>
        <item x="167"/>
        <item x="43"/>
        <item x="143"/>
        <item x="96"/>
        <item x="49"/>
        <item x="97"/>
        <item x="52"/>
        <item x="108"/>
        <item x="154"/>
        <item x="109"/>
        <item x="20"/>
        <item x="8"/>
        <item x="21"/>
        <item x="53"/>
        <item x="126"/>
        <item x="168"/>
        <item x="112"/>
        <item x="68"/>
        <item x="181"/>
        <item x="166"/>
        <item x="136"/>
        <item x="129"/>
        <item t="default"/>
      </items>
    </pivotField>
    <pivotField showAll="0">
      <items count="7">
        <item x="5"/>
        <item x="3"/>
        <item x="2"/>
        <item x="1"/>
        <item x="0"/>
        <item x="4"/>
        <item t="default"/>
      </items>
    </pivotField>
    <pivotField showAll="0" sortType="ascending">
      <items count="23">
        <item x="0"/>
        <item x="4"/>
        <item x="18"/>
        <item x="11"/>
        <item x="19"/>
        <item x="14"/>
        <item x="7"/>
        <item x="10"/>
        <item x="20"/>
        <item x="21"/>
        <item x="15"/>
        <item x="1"/>
        <item x="3"/>
        <item x="9"/>
        <item x="12"/>
        <item x="13"/>
        <item x="5"/>
        <item x="16"/>
        <item x="8"/>
        <item x="17"/>
        <item x="6"/>
        <item x="2"/>
        <item t="default"/>
      </items>
    </pivotField>
    <pivotField axis="axisRow" showAll="0">
      <items count="6">
        <item x="3"/>
        <item x="4"/>
        <item x="1"/>
        <item x="2"/>
        <item x="0"/>
        <item t="default"/>
      </items>
    </pivotField>
    <pivotField showAll="0">
      <items count="5">
        <item x="1"/>
        <item x="0"/>
        <item x="2"/>
        <item x="3"/>
        <item t="default"/>
      </items>
    </pivotField>
    <pivotField numFmtId="1" showAll="0"/>
    <pivotField dataField="1" numFmtId="164" showAll="0"/>
    <pivotField showAll="0">
      <items count="6">
        <item x="1"/>
        <item x="3"/>
        <item x="2"/>
        <item x="0"/>
        <item x="4"/>
        <item t="default"/>
      </items>
    </pivotField>
    <pivotField numFmtId="164" showAll="0"/>
    <pivotField showAll="0"/>
    <pivotField showAll="0"/>
    <pivotField numFmtId="164" showAll="0"/>
    <pivotField numFmtId="1" showAll="0"/>
    <pivotField numFmtId="164" showAll="0"/>
    <pivotField numFmtId="164" showAll="0"/>
    <pivotField numFmtId="164" showAll="0"/>
  </pivotFields>
  <rowFields count="1">
    <field x="3"/>
  </rowFields>
  <rowItems count="5">
    <i>
      <x/>
    </i>
    <i>
      <x v="1"/>
    </i>
    <i>
      <x v="2"/>
    </i>
    <i>
      <x v="3"/>
    </i>
    <i>
      <x v="4"/>
    </i>
  </rowItems>
  <colItems count="1">
    <i/>
  </colItems>
  <dataFields count="1">
    <dataField name="Average of Monthly_wage(USD)" fld="6" subtotal="average" baseField="3" baseItem="0"/>
  </dataFields>
  <formats count="35">
    <format dxfId="127">
      <pivotArea type="all" dataOnly="0" outline="0" fieldPosition="0"/>
    </format>
    <format dxfId="126">
      <pivotArea outline="0" collapsedLevelsAreSubtotals="1" fieldPosition="0"/>
    </format>
    <format dxfId="125">
      <pivotArea field="2" type="button" dataOnly="0" labelOnly="1" outline="0"/>
    </format>
    <format dxfId="124">
      <pivotArea dataOnly="0" labelOnly="1" grandRow="1" outline="0" fieldPosition="0"/>
    </format>
    <format dxfId="123">
      <pivotArea field="2" type="button" dataOnly="0" labelOnly="1" outline="0"/>
    </format>
    <format dxfId="122">
      <pivotArea type="all" dataOnly="0" outline="0" fieldPosition="0"/>
    </format>
    <format dxfId="121">
      <pivotArea field="2" type="button" dataOnly="0" labelOnly="1" outline="0"/>
    </format>
    <format dxfId="120">
      <pivotArea field="2" type="button" dataOnly="0" labelOnly="1" outline="0"/>
    </format>
    <format dxfId="119">
      <pivotArea dataOnly="0" labelOnly="1" outline="0" axis="axisValues" fieldPosition="0"/>
    </format>
    <format dxfId="118">
      <pivotArea dataOnly="0" labelOnly="1" outline="0" axis="axisValues" fieldPosition="0"/>
    </format>
    <format dxfId="117">
      <pivotArea outline="0" collapsedLevelsAreSubtotals="1" fieldPosition="0"/>
    </format>
    <format dxfId="116">
      <pivotArea dataOnly="0" labelOnly="1" outline="0" axis="axisValues" fieldPosition="0"/>
    </format>
    <format dxfId="115">
      <pivotArea dataOnly="0" labelOnly="1" outline="0" axis="axisValues" fieldPosition="0"/>
    </format>
    <format dxfId="114">
      <pivotArea type="all" dataOnly="0" outline="0" fieldPosition="0"/>
    </format>
    <format dxfId="113">
      <pivotArea outline="0" collapsedLevelsAreSubtotals="1" fieldPosition="0"/>
    </format>
    <format dxfId="112">
      <pivotArea field="2" type="button" dataOnly="0" labelOnly="1" outline="0"/>
    </format>
    <format dxfId="111">
      <pivotArea dataOnly="0" labelOnly="1" outline="0" axis="axisValues" fieldPosition="0"/>
    </format>
    <format dxfId="110">
      <pivotArea dataOnly="0" labelOnly="1" outline="0" axis="axisValues" fieldPosition="0"/>
    </format>
    <format dxfId="109">
      <pivotArea type="all" dataOnly="0" outline="0" fieldPosition="0"/>
    </format>
    <format dxfId="108">
      <pivotArea outline="0" collapsedLevelsAreSubtotals="1" fieldPosition="0"/>
    </format>
    <format dxfId="107">
      <pivotArea field="2" type="button" dataOnly="0" labelOnly="1" outline="0"/>
    </format>
    <format dxfId="106">
      <pivotArea dataOnly="0" labelOnly="1" outline="0" axis="axisValues" fieldPosition="0"/>
    </format>
    <format dxfId="105">
      <pivotArea dataOnly="0" labelOnly="1" outline="0" axis="axisValues" fieldPosition="0"/>
    </format>
    <format dxfId="104">
      <pivotArea type="all" dataOnly="0" outline="0" fieldPosition="0"/>
    </format>
    <format dxfId="103">
      <pivotArea outline="0" collapsedLevelsAreSubtotals="1" fieldPosition="0"/>
    </format>
    <format dxfId="102">
      <pivotArea field="2" type="button" dataOnly="0" labelOnly="1" outline="0"/>
    </format>
    <format dxfId="101">
      <pivotArea dataOnly="0" labelOnly="1" outline="0" axis="axisValues" fieldPosition="0"/>
    </format>
    <format dxfId="100">
      <pivotArea dataOnly="0" labelOnly="1" outline="0" axis="axisValues" fieldPosition="0"/>
    </format>
    <format dxfId="99">
      <pivotArea outline="0" fieldPosition="0"/>
    </format>
    <format dxfId="98">
      <pivotArea type="all" dataOnly="0" outline="0" fieldPosition="0"/>
    </format>
    <format dxfId="97">
      <pivotArea outline="0" collapsedLevelsAreSubtotals="1" fieldPosition="0"/>
    </format>
    <format dxfId="96">
      <pivotArea field="3" type="button" dataOnly="0" labelOnly="1" outline="0" axis="axisRow" fieldPosition="0"/>
    </format>
    <format dxfId="95">
      <pivotArea dataOnly="0" labelOnly="1" outline="0" axis="axisValues" fieldPosition="0"/>
    </format>
    <format dxfId="94">
      <pivotArea dataOnly="0" labelOnly="1" fieldPosition="0">
        <references count="1">
          <reference field="3" count="0"/>
        </references>
      </pivotArea>
    </format>
    <format dxfId="93">
      <pivotArea dataOnly="0" labelOnly="1" outline="0" axis="axisValues" fieldPosition="0"/>
    </format>
  </formats>
  <pivotTableStyleInfo name="PivotStyleLight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rowHeaderCaption="Unemployment Level">
  <location ref="A66:B70" firstHeaderRow="1" firstDataRow="1" firstDataCol="1"/>
  <pivotFields count="16">
    <pivotField dataField="1" showAll="0">
      <items count="183">
        <item x="23"/>
        <item x="10"/>
        <item x="4"/>
        <item x="173"/>
        <item x="162"/>
        <item x="134"/>
        <item x="133"/>
        <item x="138"/>
        <item x="153"/>
        <item x="155"/>
        <item x="75"/>
        <item x="113"/>
        <item x="22"/>
        <item x="14"/>
        <item x="139"/>
        <item x="26"/>
        <item x="50"/>
        <item x="98"/>
        <item x="78"/>
        <item x="34"/>
        <item x="0"/>
        <item x="169"/>
        <item x="99"/>
        <item x="35"/>
        <item x="27"/>
        <item x="137"/>
        <item x="46"/>
        <item x="89"/>
        <item x="5"/>
        <item x="70"/>
        <item x="9"/>
        <item x="114"/>
        <item x="71"/>
        <item x="63"/>
        <item x="79"/>
        <item x="88"/>
        <item x="36"/>
        <item x="51"/>
        <item x="140"/>
        <item x="144"/>
        <item x="165"/>
        <item x="100"/>
        <item x="1"/>
        <item x="90"/>
        <item x="15"/>
        <item x="163"/>
        <item x="156"/>
        <item x="54"/>
        <item x="72"/>
        <item x="73"/>
        <item x="145"/>
        <item x="146"/>
        <item x="119"/>
        <item x="80"/>
        <item x="47"/>
        <item x="130"/>
        <item x="37"/>
        <item x="157"/>
        <item x="28"/>
        <item x="38"/>
        <item x="170"/>
        <item x="101"/>
        <item x="64"/>
        <item x="65"/>
        <item x="115"/>
        <item x="59"/>
        <item x="120"/>
        <item x="69"/>
        <item x="102"/>
        <item x="158"/>
        <item x="29"/>
        <item x="147"/>
        <item x="121"/>
        <item x="171"/>
        <item x="91"/>
        <item x="148"/>
        <item x="81"/>
        <item x="32"/>
        <item x="55"/>
        <item x="60"/>
        <item x="141"/>
        <item x="149"/>
        <item x="56"/>
        <item x="122"/>
        <item x="74"/>
        <item x="39"/>
        <item x="44"/>
        <item x="172"/>
        <item x="127"/>
        <item x="103"/>
        <item x="104"/>
        <item x="82"/>
        <item x="6"/>
        <item x="12"/>
        <item x="83"/>
        <item x="18"/>
        <item x="76"/>
        <item x="92"/>
        <item x="118"/>
        <item x="123"/>
        <item x="174"/>
        <item x="13"/>
        <item x="16"/>
        <item x="105"/>
        <item x="110"/>
        <item x="45"/>
        <item x="159"/>
        <item x="116"/>
        <item x="131"/>
        <item x="84"/>
        <item x="175"/>
        <item x="40"/>
        <item x="2"/>
        <item x="150"/>
        <item x="160"/>
        <item x="66"/>
        <item x="57"/>
        <item x="142"/>
        <item x="30"/>
        <item x="61"/>
        <item x="67"/>
        <item x="93"/>
        <item x="176"/>
        <item x="94"/>
        <item x="77"/>
        <item x="151"/>
        <item x="106"/>
        <item x="124"/>
        <item x="7"/>
        <item x="3"/>
        <item x="107"/>
        <item x="161"/>
        <item x="177"/>
        <item x="24"/>
        <item x="117"/>
        <item x="48"/>
        <item x="128"/>
        <item x="85"/>
        <item x="62"/>
        <item x="111"/>
        <item x="33"/>
        <item x="31"/>
        <item x="17"/>
        <item x="41"/>
        <item x="86"/>
        <item x="135"/>
        <item x="19"/>
        <item x="132"/>
        <item x="58"/>
        <item x="152"/>
        <item x="11"/>
        <item x="42"/>
        <item x="25"/>
        <item x="178"/>
        <item x="95"/>
        <item x="125"/>
        <item x="164"/>
        <item x="87"/>
        <item x="179"/>
        <item x="180"/>
        <item x="167"/>
        <item x="43"/>
        <item x="143"/>
        <item x="96"/>
        <item x="49"/>
        <item x="97"/>
        <item x="52"/>
        <item x="108"/>
        <item x="154"/>
        <item x="109"/>
        <item x="20"/>
        <item x="8"/>
        <item x="21"/>
        <item x="53"/>
        <item x="126"/>
        <item x="168"/>
        <item x="112"/>
        <item x="68"/>
        <item x="181"/>
        <item x="166"/>
        <item x="136"/>
        <item x="129"/>
        <item t="default"/>
      </items>
    </pivotField>
    <pivotField showAll="0">
      <items count="7">
        <item x="5"/>
        <item x="3"/>
        <item x="2"/>
        <item x="1"/>
        <item x="0"/>
        <item x="4"/>
        <item t="default"/>
      </items>
    </pivotField>
    <pivotField showAll="0" sortType="ascending">
      <items count="23">
        <item x="0"/>
        <item x="4"/>
        <item x="18"/>
        <item x="11"/>
        <item x="19"/>
        <item x="14"/>
        <item x="7"/>
        <item x="10"/>
        <item x="20"/>
        <item x="21"/>
        <item x="15"/>
        <item x="1"/>
        <item x="3"/>
        <item x="9"/>
        <item x="12"/>
        <item x="13"/>
        <item x="5"/>
        <item x="16"/>
        <item x="8"/>
        <item x="17"/>
        <item x="6"/>
        <item x="2"/>
        <item t="default"/>
      </items>
    </pivotField>
    <pivotField showAll="0">
      <items count="6">
        <item x="3"/>
        <item x="4"/>
        <item x="1"/>
        <item x="2"/>
        <item x="0"/>
        <item t="default"/>
      </items>
    </pivotField>
    <pivotField axis="axisRow" showAll="0">
      <items count="5">
        <item x="1"/>
        <item x="0"/>
        <item x="2"/>
        <item x="3"/>
        <item t="default"/>
      </items>
    </pivotField>
    <pivotField numFmtId="1" showAll="0"/>
    <pivotField numFmtId="164" showAll="0"/>
    <pivotField showAll="0">
      <items count="6">
        <item x="1"/>
        <item x="3"/>
        <item x="2"/>
        <item x="0"/>
        <item x="4"/>
        <item t="default"/>
      </items>
    </pivotField>
    <pivotField numFmtId="164" showAll="0"/>
    <pivotField showAll="0"/>
    <pivotField showAll="0"/>
    <pivotField numFmtId="164" showAll="0"/>
    <pivotField numFmtId="1" showAll="0"/>
    <pivotField numFmtId="164" showAll="0"/>
    <pivotField numFmtId="164" showAll="0"/>
    <pivotField numFmtId="164" showAll="0"/>
  </pivotFields>
  <rowFields count="1">
    <field x="4"/>
  </rowFields>
  <rowItems count="4">
    <i>
      <x/>
    </i>
    <i>
      <x v="1"/>
    </i>
    <i>
      <x v="2"/>
    </i>
    <i>
      <x v="3"/>
    </i>
  </rowItems>
  <colItems count="1">
    <i/>
  </colItems>
  <dataFields count="1">
    <dataField name="Count of Country" fld="0" subtotal="count" baseField="0" baseItem="0"/>
  </dataFields>
  <formats count="31">
    <format dxfId="158">
      <pivotArea type="all" dataOnly="0" outline="0" fieldPosition="0"/>
    </format>
    <format dxfId="157">
      <pivotArea outline="0" collapsedLevelsAreSubtotals="1" fieldPosition="0"/>
    </format>
    <format dxfId="156">
      <pivotArea field="2" type="button" dataOnly="0" labelOnly="1" outline="0"/>
    </format>
    <format dxfId="155">
      <pivotArea dataOnly="0" labelOnly="1" grandRow="1" outline="0" fieldPosition="0"/>
    </format>
    <format dxfId="154">
      <pivotArea field="2" type="button" dataOnly="0" labelOnly="1" outline="0"/>
    </format>
    <format dxfId="153">
      <pivotArea type="all" dataOnly="0" outline="0" fieldPosition="0"/>
    </format>
    <format dxfId="152">
      <pivotArea field="2" type="button" dataOnly="0" labelOnly="1" outline="0"/>
    </format>
    <format dxfId="151">
      <pivotArea field="2" type="button" dataOnly="0" labelOnly="1" outline="0"/>
    </format>
    <format dxfId="150">
      <pivotArea dataOnly="0" labelOnly="1" outline="0" axis="axisValues" fieldPosition="0"/>
    </format>
    <format dxfId="149">
      <pivotArea dataOnly="0" labelOnly="1" outline="0" axis="axisValues" fieldPosition="0"/>
    </format>
    <format dxfId="148">
      <pivotArea outline="0" collapsedLevelsAreSubtotals="1" fieldPosition="0"/>
    </format>
    <format dxfId="147">
      <pivotArea dataOnly="0" labelOnly="1" outline="0" axis="axisValues" fieldPosition="0"/>
    </format>
    <format dxfId="146">
      <pivotArea dataOnly="0" labelOnly="1" outline="0" axis="axisValues" fieldPosition="0"/>
    </format>
    <format dxfId="145">
      <pivotArea type="all" dataOnly="0" outline="0" fieldPosition="0"/>
    </format>
    <format dxfId="144">
      <pivotArea outline="0" collapsedLevelsAreSubtotals="1" fieldPosition="0"/>
    </format>
    <format dxfId="143">
      <pivotArea field="2" type="button" dataOnly="0" labelOnly="1" outline="0"/>
    </format>
    <format dxfId="142">
      <pivotArea dataOnly="0" labelOnly="1" outline="0" axis="axisValues" fieldPosition="0"/>
    </format>
    <format dxfId="141">
      <pivotArea dataOnly="0" labelOnly="1" outline="0" axis="axisValues" fieldPosition="0"/>
    </format>
    <format dxfId="140">
      <pivotArea type="all" dataOnly="0" outline="0" fieldPosition="0"/>
    </format>
    <format dxfId="139">
      <pivotArea outline="0" collapsedLevelsAreSubtotals="1" fieldPosition="0"/>
    </format>
    <format dxfId="138">
      <pivotArea field="2" type="button" dataOnly="0" labelOnly="1" outline="0"/>
    </format>
    <format dxfId="137">
      <pivotArea dataOnly="0" labelOnly="1" outline="0" axis="axisValues" fieldPosition="0"/>
    </format>
    <format dxfId="136">
      <pivotArea dataOnly="0" labelOnly="1" outline="0" axis="axisValues" fieldPosition="0"/>
    </format>
    <format dxfId="135">
      <pivotArea type="all" dataOnly="0" outline="0" fieldPosition="0"/>
    </format>
    <format dxfId="134">
      <pivotArea outline="0" collapsedLevelsAreSubtotals="1" fieldPosition="0"/>
    </format>
    <format dxfId="133">
      <pivotArea field="2" type="button" dataOnly="0" labelOnly="1" outline="0"/>
    </format>
    <format dxfId="132">
      <pivotArea dataOnly="0" labelOnly="1" outline="0" axis="axisValues" fieldPosition="0"/>
    </format>
    <format dxfId="131">
      <pivotArea dataOnly="0" labelOnly="1" outline="0" axis="axisValues" fieldPosition="0"/>
    </format>
    <format dxfId="130">
      <pivotArea type="all" dataOnly="0" outline="0" fieldPosition="0"/>
    </format>
    <format dxfId="129">
      <pivotArea outline="0" collapsedLevelsAreSubtotals="1" fieldPosition="0"/>
    </format>
    <format dxfId="128">
      <pivotArea outline="0" collapsedLevelsAreSubtotals="1" fieldPosition="0"/>
    </format>
  </formats>
  <pivotTableStyleInfo name="PivotStyleLight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3" rowHeaderCaption="Continent">
  <location ref="A54:B60" firstHeaderRow="1" firstDataRow="1" firstDataCol="1"/>
  <pivotFields count="16">
    <pivotField showAll="0">
      <items count="183">
        <item x="23"/>
        <item x="10"/>
        <item x="4"/>
        <item x="173"/>
        <item x="162"/>
        <item x="134"/>
        <item x="133"/>
        <item x="138"/>
        <item x="153"/>
        <item x="155"/>
        <item x="75"/>
        <item x="113"/>
        <item x="22"/>
        <item x="14"/>
        <item x="139"/>
        <item x="26"/>
        <item x="50"/>
        <item x="98"/>
        <item x="78"/>
        <item x="34"/>
        <item x="0"/>
        <item x="169"/>
        <item x="99"/>
        <item x="35"/>
        <item x="27"/>
        <item x="137"/>
        <item x="46"/>
        <item x="89"/>
        <item x="5"/>
        <item x="70"/>
        <item x="9"/>
        <item x="114"/>
        <item x="71"/>
        <item x="63"/>
        <item x="79"/>
        <item x="88"/>
        <item x="36"/>
        <item x="51"/>
        <item x="140"/>
        <item x="144"/>
        <item x="165"/>
        <item x="100"/>
        <item x="1"/>
        <item x="90"/>
        <item x="15"/>
        <item x="163"/>
        <item x="156"/>
        <item x="54"/>
        <item x="72"/>
        <item x="73"/>
        <item x="145"/>
        <item x="146"/>
        <item x="119"/>
        <item x="80"/>
        <item x="47"/>
        <item x="130"/>
        <item x="37"/>
        <item x="157"/>
        <item x="28"/>
        <item x="38"/>
        <item x="170"/>
        <item x="101"/>
        <item x="64"/>
        <item x="65"/>
        <item x="115"/>
        <item x="59"/>
        <item x="120"/>
        <item x="69"/>
        <item x="102"/>
        <item x="158"/>
        <item x="29"/>
        <item x="147"/>
        <item x="121"/>
        <item x="171"/>
        <item x="91"/>
        <item x="148"/>
        <item x="81"/>
        <item x="32"/>
        <item x="55"/>
        <item x="60"/>
        <item x="141"/>
        <item x="149"/>
        <item x="56"/>
        <item x="122"/>
        <item x="74"/>
        <item x="39"/>
        <item x="44"/>
        <item x="172"/>
        <item x="127"/>
        <item x="103"/>
        <item x="104"/>
        <item x="82"/>
        <item x="6"/>
        <item x="12"/>
        <item x="83"/>
        <item x="18"/>
        <item x="76"/>
        <item x="92"/>
        <item x="118"/>
        <item x="123"/>
        <item x="174"/>
        <item x="13"/>
        <item x="16"/>
        <item x="105"/>
        <item x="110"/>
        <item x="45"/>
        <item x="159"/>
        <item x="116"/>
        <item x="131"/>
        <item x="84"/>
        <item x="175"/>
        <item x="40"/>
        <item x="2"/>
        <item x="150"/>
        <item x="160"/>
        <item x="66"/>
        <item x="57"/>
        <item x="142"/>
        <item x="30"/>
        <item x="61"/>
        <item x="67"/>
        <item x="93"/>
        <item x="176"/>
        <item x="94"/>
        <item x="77"/>
        <item x="151"/>
        <item x="106"/>
        <item x="124"/>
        <item x="7"/>
        <item x="3"/>
        <item x="107"/>
        <item x="161"/>
        <item x="177"/>
        <item x="24"/>
        <item x="117"/>
        <item x="48"/>
        <item x="128"/>
        <item x="85"/>
        <item x="62"/>
        <item x="111"/>
        <item x="33"/>
        <item x="31"/>
        <item x="17"/>
        <item x="41"/>
        <item x="86"/>
        <item x="135"/>
        <item x="19"/>
        <item x="132"/>
        <item x="58"/>
        <item x="152"/>
        <item x="11"/>
        <item x="42"/>
        <item x="25"/>
        <item x="178"/>
        <item x="95"/>
        <item x="125"/>
        <item x="164"/>
        <item x="87"/>
        <item x="179"/>
        <item x="180"/>
        <item x="167"/>
        <item x="43"/>
        <item x="143"/>
        <item x="96"/>
        <item x="49"/>
        <item x="97"/>
        <item x="52"/>
        <item x="108"/>
        <item x="154"/>
        <item x="109"/>
        <item x="20"/>
        <item x="8"/>
        <item x="21"/>
        <item x="53"/>
        <item x="126"/>
        <item x="168"/>
        <item x="112"/>
        <item x="68"/>
        <item x="181"/>
        <item x="166"/>
        <item x="136"/>
        <item x="129"/>
        <item t="default"/>
      </items>
    </pivotField>
    <pivotField axis="axisRow" showAll="0">
      <items count="7">
        <item x="5"/>
        <item x="3"/>
        <item x="2"/>
        <item x="1"/>
        <item x="0"/>
        <item x="4"/>
        <item t="default"/>
      </items>
    </pivotField>
    <pivotField showAll="0" sortType="ascending">
      <items count="23">
        <item x="0"/>
        <item x="4"/>
        <item x="18"/>
        <item x="11"/>
        <item x="19"/>
        <item x="14"/>
        <item x="7"/>
        <item x="10"/>
        <item x="20"/>
        <item x="21"/>
        <item x="15"/>
        <item x="1"/>
        <item x="3"/>
        <item x="9"/>
        <item x="12"/>
        <item x="13"/>
        <item x="5"/>
        <item x="16"/>
        <item x="8"/>
        <item x="17"/>
        <item x="6"/>
        <item x="2"/>
        <item t="default"/>
      </items>
    </pivotField>
    <pivotField showAll="0">
      <items count="6">
        <item x="3"/>
        <item x="4"/>
        <item x="1"/>
        <item x="2"/>
        <item x="0"/>
        <item t="default"/>
      </items>
    </pivotField>
    <pivotField showAll="0">
      <items count="5">
        <item x="1"/>
        <item x="0"/>
        <item x="2"/>
        <item x="3"/>
        <item t="default"/>
      </items>
    </pivotField>
    <pivotField numFmtId="1" showAll="0"/>
    <pivotField numFmtId="164" showAll="0"/>
    <pivotField showAll="0">
      <items count="6">
        <item x="1"/>
        <item x="3"/>
        <item x="2"/>
        <item x="0"/>
        <item x="4"/>
        <item t="default"/>
      </items>
    </pivotField>
    <pivotField numFmtId="164" showAll="0"/>
    <pivotField showAll="0"/>
    <pivotField showAll="0"/>
    <pivotField dataField="1" numFmtId="164" showAll="0"/>
    <pivotField numFmtId="1" showAll="0"/>
    <pivotField numFmtId="164" showAll="0"/>
    <pivotField numFmtId="164" showAll="0"/>
    <pivotField numFmtId="164" showAll="0"/>
  </pivotFields>
  <rowFields count="1">
    <field x="1"/>
  </rowFields>
  <rowItems count="6">
    <i>
      <x/>
    </i>
    <i>
      <x v="1"/>
    </i>
    <i>
      <x v="2"/>
    </i>
    <i>
      <x v="3"/>
    </i>
    <i>
      <x v="4"/>
    </i>
    <i>
      <x v="5"/>
    </i>
  </rowItems>
  <colItems count="1">
    <i/>
  </colItems>
  <dataFields count="1">
    <dataField name="Average of Estimated Total Monthly Cost(USD)" fld="11" subtotal="average" baseField="1" baseItem="0"/>
  </dataFields>
  <formats count="30">
    <format dxfId="188">
      <pivotArea type="all" dataOnly="0" outline="0" fieldPosition="0"/>
    </format>
    <format dxfId="187">
      <pivotArea outline="0" collapsedLevelsAreSubtotals="1" fieldPosition="0"/>
    </format>
    <format dxfId="186">
      <pivotArea field="2" type="button" dataOnly="0" labelOnly="1" outline="0"/>
    </format>
    <format dxfId="185">
      <pivotArea dataOnly="0" labelOnly="1" grandRow="1" outline="0" fieldPosition="0"/>
    </format>
    <format dxfId="184">
      <pivotArea field="2" type="button" dataOnly="0" labelOnly="1" outline="0"/>
    </format>
    <format dxfId="183">
      <pivotArea type="all" dataOnly="0" outline="0" fieldPosition="0"/>
    </format>
    <format dxfId="182">
      <pivotArea field="2" type="button" dataOnly="0" labelOnly="1" outline="0"/>
    </format>
    <format dxfId="181">
      <pivotArea field="2" type="button" dataOnly="0" labelOnly="1" outline="0"/>
    </format>
    <format dxfId="180">
      <pivotArea dataOnly="0" labelOnly="1" outline="0" axis="axisValues" fieldPosition="0"/>
    </format>
    <format dxfId="179">
      <pivotArea dataOnly="0" labelOnly="1" outline="0" axis="axisValues" fieldPosition="0"/>
    </format>
    <format dxfId="178">
      <pivotArea outline="0" collapsedLevelsAreSubtotals="1" fieldPosition="0"/>
    </format>
    <format dxfId="177">
      <pivotArea dataOnly="0" labelOnly="1" outline="0" axis="axisValues" fieldPosition="0"/>
    </format>
    <format dxfId="176">
      <pivotArea dataOnly="0" labelOnly="1" outline="0" axis="axisValues" fieldPosition="0"/>
    </format>
    <format dxfId="175">
      <pivotArea type="all" dataOnly="0" outline="0" fieldPosition="0"/>
    </format>
    <format dxfId="174">
      <pivotArea outline="0" collapsedLevelsAreSubtotals="1" fieldPosition="0"/>
    </format>
    <format dxfId="173">
      <pivotArea field="2" type="button" dataOnly="0" labelOnly="1" outline="0"/>
    </format>
    <format dxfId="172">
      <pivotArea dataOnly="0" labelOnly="1" outline="0" axis="axisValues" fieldPosition="0"/>
    </format>
    <format dxfId="171">
      <pivotArea dataOnly="0" labelOnly="1" outline="0" axis="axisValues" fieldPosition="0"/>
    </format>
    <format dxfId="170">
      <pivotArea type="all" dataOnly="0" outline="0" fieldPosition="0"/>
    </format>
    <format dxfId="169">
      <pivotArea outline="0" collapsedLevelsAreSubtotals="1" fieldPosition="0"/>
    </format>
    <format dxfId="168">
      <pivotArea field="2" type="button" dataOnly="0" labelOnly="1" outline="0"/>
    </format>
    <format dxfId="167">
      <pivotArea dataOnly="0" labelOnly="1" outline="0" axis="axisValues" fieldPosition="0"/>
    </format>
    <format dxfId="166">
      <pivotArea dataOnly="0" labelOnly="1" outline="0" axis="axisValues" fieldPosition="0"/>
    </format>
    <format dxfId="165">
      <pivotArea type="all" dataOnly="0" outline="0" fieldPosition="0"/>
    </format>
    <format dxfId="164">
      <pivotArea outline="0" collapsedLevelsAreSubtotals="1" fieldPosition="0"/>
    </format>
    <format dxfId="163">
      <pivotArea field="2" type="button" dataOnly="0" labelOnly="1" outline="0"/>
    </format>
    <format dxfId="162">
      <pivotArea dataOnly="0" labelOnly="1" outline="0" axis="axisValues" fieldPosition="0"/>
    </format>
    <format dxfId="161">
      <pivotArea dataOnly="0" labelOnly="1" outline="0" axis="axisValues" fieldPosition="0"/>
    </format>
    <format dxfId="160">
      <pivotArea type="all" dataOnly="0" outline="0" fieldPosition="0"/>
    </format>
    <format dxfId="159">
      <pivotArea outline="0" collapsedLevelsAreSubtotals="1" fieldPosition="0"/>
    </format>
  </formats>
  <pivotTableStyleInfo name="PivotStyleLight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rowHeaderCaption="Sub-Region">
  <location ref="A1:D2" firstHeaderRow="0" firstDataRow="1" firstDataCol="0"/>
  <pivotFields count="16">
    <pivotField showAll="0">
      <items count="183">
        <item x="23"/>
        <item x="10"/>
        <item x="4"/>
        <item x="173"/>
        <item x="162"/>
        <item x="134"/>
        <item x="133"/>
        <item x="138"/>
        <item x="153"/>
        <item x="155"/>
        <item x="75"/>
        <item x="113"/>
        <item x="22"/>
        <item x="14"/>
        <item x="139"/>
        <item x="26"/>
        <item x="50"/>
        <item x="98"/>
        <item x="78"/>
        <item x="34"/>
        <item x="0"/>
        <item x="169"/>
        <item x="99"/>
        <item x="35"/>
        <item x="27"/>
        <item x="137"/>
        <item x="46"/>
        <item x="89"/>
        <item x="5"/>
        <item x="70"/>
        <item x="9"/>
        <item x="114"/>
        <item x="71"/>
        <item x="63"/>
        <item x="79"/>
        <item x="88"/>
        <item x="36"/>
        <item x="51"/>
        <item x="140"/>
        <item x="144"/>
        <item x="165"/>
        <item x="100"/>
        <item x="1"/>
        <item x="90"/>
        <item x="15"/>
        <item x="163"/>
        <item x="156"/>
        <item x="54"/>
        <item x="72"/>
        <item x="73"/>
        <item x="145"/>
        <item x="146"/>
        <item x="119"/>
        <item x="80"/>
        <item x="47"/>
        <item x="130"/>
        <item x="37"/>
        <item x="157"/>
        <item x="28"/>
        <item x="38"/>
        <item x="170"/>
        <item x="101"/>
        <item x="64"/>
        <item x="65"/>
        <item x="115"/>
        <item x="59"/>
        <item x="120"/>
        <item x="69"/>
        <item x="102"/>
        <item x="158"/>
        <item x="29"/>
        <item x="147"/>
        <item x="121"/>
        <item x="171"/>
        <item x="91"/>
        <item x="148"/>
        <item x="81"/>
        <item x="32"/>
        <item x="55"/>
        <item x="60"/>
        <item x="141"/>
        <item x="149"/>
        <item x="56"/>
        <item x="122"/>
        <item x="74"/>
        <item x="39"/>
        <item x="44"/>
        <item x="172"/>
        <item x="127"/>
        <item x="103"/>
        <item x="104"/>
        <item x="82"/>
        <item x="6"/>
        <item x="12"/>
        <item x="83"/>
        <item x="18"/>
        <item x="76"/>
        <item x="92"/>
        <item x="118"/>
        <item x="123"/>
        <item x="174"/>
        <item x="13"/>
        <item x="16"/>
        <item x="105"/>
        <item x="110"/>
        <item x="45"/>
        <item x="159"/>
        <item x="116"/>
        <item x="131"/>
        <item x="84"/>
        <item x="175"/>
        <item x="40"/>
        <item x="2"/>
        <item x="150"/>
        <item x="160"/>
        <item x="66"/>
        <item x="57"/>
        <item x="142"/>
        <item x="30"/>
        <item x="61"/>
        <item x="67"/>
        <item x="93"/>
        <item x="176"/>
        <item x="94"/>
        <item x="77"/>
        <item x="151"/>
        <item x="106"/>
        <item x="124"/>
        <item x="7"/>
        <item x="3"/>
        <item x="107"/>
        <item x="161"/>
        <item x="177"/>
        <item x="24"/>
        <item x="117"/>
        <item x="48"/>
        <item x="128"/>
        <item x="85"/>
        <item x="62"/>
        <item x="111"/>
        <item x="33"/>
        <item x="31"/>
        <item x="17"/>
        <item x="41"/>
        <item x="86"/>
        <item x="135"/>
        <item x="19"/>
        <item x="132"/>
        <item x="58"/>
        <item x="152"/>
        <item x="11"/>
        <item x="42"/>
        <item x="25"/>
        <item x="178"/>
        <item x="95"/>
        <item x="125"/>
        <item x="164"/>
        <item x="87"/>
        <item x="179"/>
        <item x="180"/>
        <item x="167"/>
        <item x="43"/>
        <item x="143"/>
        <item x="96"/>
        <item x="49"/>
        <item x="97"/>
        <item x="52"/>
        <item x="108"/>
        <item x="154"/>
        <item x="109"/>
        <item x="20"/>
        <item x="8"/>
        <item x="21"/>
        <item x="53"/>
        <item x="126"/>
        <item x="168"/>
        <item x="112"/>
        <item x="68"/>
        <item x="181"/>
        <item x="166"/>
        <item x="136"/>
        <item x="129"/>
        <item t="default"/>
      </items>
    </pivotField>
    <pivotField showAll="0">
      <items count="7">
        <item x="5"/>
        <item x="3"/>
        <item x="2"/>
        <item x="1"/>
        <item x="0"/>
        <item x="4"/>
        <item t="default"/>
      </items>
    </pivotField>
    <pivotField showAll="0" sortType="ascending">
      <items count="23">
        <item x="0"/>
        <item x="4"/>
        <item x="18"/>
        <item x="11"/>
        <item x="19"/>
        <item x="14"/>
        <item x="7"/>
        <item x="10"/>
        <item x="20"/>
        <item x="21"/>
        <item x="15"/>
        <item x="1"/>
        <item x="3"/>
        <item x="9"/>
        <item x="12"/>
        <item x="13"/>
        <item x="5"/>
        <item x="16"/>
        <item x="8"/>
        <item x="17"/>
        <item x="6"/>
        <item x="2"/>
        <item t="default"/>
      </items>
    </pivotField>
    <pivotField showAll="0">
      <items count="6">
        <item x="3"/>
        <item x="4"/>
        <item x="1"/>
        <item x="2"/>
        <item x="0"/>
        <item t="default"/>
      </items>
    </pivotField>
    <pivotField showAll="0">
      <items count="5">
        <item x="1"/>
        <item x="0"/>
        <item x="2"/>
        <item x="3"/>
        <item t="default"/>
      </items>
    </pivotField>
    <pivotField dataField="1" numFmtId="1" showAll="0"/>
    <pivotField dataField="1" numFmtId="164" showAll="0"/>
    <pivotField showAll="0">
      <items count="6">
        <item x="1"/>
        <item x="3"/>
        <item x="2"/>
        <item x="0"/>
        <item x="4"/>
        <item t="default"/>
      </items>
    </pivotField>
    <pivotField dataField="1" numFmtId="164" showAll="0"/>
    <pivotField showAll="0"/>
    <pivotField showAll="0"/>
    <pivotField numFmtId="164" showAll="0"/>
    <pivotField numFmtId="1" showAll="0"/>
    <pivotField numFmtId="164" showAll="0"/>
    <pivotField numFmtId="164" showAll="0"/>
    <pivotField dataField="1" numFmtId="164" showAll="0"/>
  </pivotFields>
  <rowItems count="1">
    <i/>
  </rowItems>
  <colFields count="1">
    <field x="-2"/>
  </colFields>
  <colItems count="4">
    <i>
      <x/>
    </i>
    <i i="1">
      <x v="1"/>
    </i>
    <i i="2">
      <x v="2"/>
    </i>
    <i i="3">
      <x v="3"/>
    </i>
  </colItems>
  <dataFields count="4">
    <dataField name="AVG Population" fld="5" subtotal="average" baseField="0" baseItem="1" numFmtId="3"/>
    <dataField name="Average of Average_Monthly_Salary(USD)" fld="8" subtotal="average" baseField="0" baseItem="1"/>
    <dataField name="Average of Monthly_wage(USD)" fld="6" subtotal="average" baseField="0" baseItem="2"/>
    <dataField name="AVG GDP per Capita" fld="15" subtotal="average" baseField="0" baseItem="3"/>
  </dataFields>
  <formats count="33">
    <format dxfId="221">
      <pivotArea type="all" dataOnly="0" outline="0" fieldPosition="0"/>
    </format>
    <format dxfId="220">
      <pivotArea outline="0" collapsedLevelsAreSubtotals="1" fieldPosition="0"/>
    </format>
    <format dxfId="219">
      <pivotArea field="2" type="button" dataOnly="0" labelOnly="1" outline="0"/>
    </format>
    <format dxfId="218">
      <pivotArea dataOnly="0" labelOnly="1" grandRow="1" outline="0" fieldPosition="0"/>
    </format>
    <format dxfId="217">
      <pivotArea field="2" type="button" dataOnly="0" labelOnly="1" outline="0"/>
    </format>
    <format dxfId="216">
      <pivotArea type="all" dataOnly="0" outline="0" fieldPosition="0"/>
    </format>
    <format dxfId="215">
      <pivotArea field="2" type="button" dataOnly="0" labelOnly="1" outline="0"/>
    </format>
    <format dxfId="214">
      <pivotArea field="2" type="button" dataOnly="0" labelOnly="1" outline="0"/>
    </format>
    <format dxfId="213">
      <pivotArea dataOnly="0" labelOnly="1" outline="0" axis="axisValues" fieldPosition="0"/>
    </format>
    <format dxfId="212">
      <pivotArea dataOnly="0" labelOnly="1" outline="0" axis="axisValues" fieldPosition="0"/>
    </format>
    <format dxfId="211">
      <pivotArea outline="0" collapsedLevelsAreSubtotals="1" fieldPosition="0"/>
    </format>
    <format dxfId="210">
      <pivotArea dataOnly="0" labelOnly="1" outline="0" axis="axisValues" fieldPosition="0"/>
    </format>
    <format dxfId="209">
      <pivotArea dataOnly="0" labelOnly="1" outline="0" axis="axisValues" fieldPosition="0"/>
    </format>
    <format dxfId="208">
      <pivotArea type="all" dataOnly="0" outline="0" fieldPosition="0"/>
    </format>
    <format dxfId="207">
      <pivotArea outline="0" collapsedLevelsAreSubtotals="1" fieldPosition="0"/>
    </format>
    <format dxfId="206">
      <pivotArea field="2" type="button" dataOnly="0" labelOnly="1" outline="0"/>
    </format>
    <format dxfId="205">
      <pivotArea dataOnly="0" labelOnly="1" outline="0" axis="axisValues" fieldPosition="0"/>
    </format>
    <format dxfId="204">
      <pivotArea dataOnly="0" labelOnly="1" outline="0" axis="axisValues" fieldPosition="0"/>
    </format>
    <format dxfId="203">
      <pivotArea type="all" dataOnly="0" outline="0" fieldPosition="0"/>
    </format>
    <format dxfId="202">
      <pivotArea outline="0" collapsedLevelsAreSubtotals="1" fieldPosition="0"/>
    </format>
    <format dxfId="201">
      <pivotArea field="2" type="button" dataOnly="0" labelOnly="1" outline="0"/>
    </format>
    <format dxfId="200">
      <pivotArea dataOnly="0" labelOnly="1" outline="0" axis="axisValues" fieldPosition="0"/>
    </format>
    <format dxfId="199">
      <pivotArea dataOnly="0" labelOnly="1" outline="0" axis="axisValues" fieldPosition="0"/>
    </format>
    <format dxfId="198">
      <pivotArea type="all" dataOnly="0" outline="0" fieldPosition="0"/>
    </format>
    <format dxfId="197">
      <pivotArea outline="0" collapsedLevelsAreSubtotals="1" fieldPosition="0"/>
    </format>
    <format dxfId="196">
      <pivotArea field="2" type="button" dataOnly="0" labelOnly="1" outline="0"/>
    </format>
    <format dxfId="195">
      <pivotArea dataOnly="0" labelOnly="1" outline="0" axis="axisValues" fieldPosition="0"/>
    </format>
    <format dxfId="194">
      <pivotArea dataOnly="0" labelOnly="1" outline="0" axis="axisValues" fieldPosition="0"/>
    </format>
    <format dxfId="193">
      <pivotArea outline="0" collapsedLevelsAreSubtotals="1" fieldPosition="0">
        <references count="1">
          <reference field="4294967294" count="1" selected="0">
            <x v="0"/>
          </reference>
        </references>
      </pivotArea>
    </format>
    <format dxfId="192">
      <pivotArea outline="0" collapsedLevelsAreSubtotals="1" fieldPosition="0">
        <references count="1">
          <reference field="4294967294" count="1" selected="0">
            <x v="0"/>
          </reference>
        </references>
      </pivotArea>
    </format>
    <format dxfId="191">
      <pivotArea type="all" dataOnly="0" outline="0" fieldPosition="0"/>
    </format>
    <format dxfId="190">
      <pivotArea outline="0" collapsedLevelsAreSubtotals="1" fieldPosition="0"/>
    </format>
    <format dxfId="189">
      <pivotArea dataOnly="0" labelOnly="1" outline="0" fieldPosition="0">
        <references count="1">
          <reference field="4294967294" count="2">
            <x v="0"/>
            <x v="3"/>
          </reference>
        </references>
      </pivotArea>
    </format>
  </formats>
  <pivotTableStyleInfo name="PivotStyleLight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rowHeaderCaption="Unemployment Level">
  <location ref="A33:C37" firstHeaderRow="0" firstDataRow="1" firstDataCol="1"/>
  <pivotFields count="16">
    <pivotField showAll="0">
      <items count="183">
        <item x="23"/>
        <item x="10"/>
        <item x="4"/>
        <item x="173"/>
        <item x="162"/>
        <item x="134"/>
        <item x="133"/>
        <item x="138"/>
        <item x="153"/>
        <item x="155"/>
        <item x="75"/>
        <item x="113"/>
        <item x="22"/>
        <item x="14"/>
        <item x="139"/>
        <item x="26"/>
        <item x="50"/>
        <item x="98"/>
        <item x="78"/>
        <item x="34"/>
        <item x="0"/>
        <item x="169"/>
        <item x="99"/>
        <item x="35"/>
        <item x="27"/>
        <item x="137"/>
        <item x="46"/>
        <item x="89"/>
        <item x="5"/>
        <item x="70"/>
        <item x="9"/>
        <item x="114"/>
        <item x="71"/>
        <item x="63"/>
        <item x="79"/>
        <item x="88"/>
        <item x="36"/>
        <item x="51"/>
        <item x="140"/>
        <item x="144"/>
        <item x="165"/>
        <item x="100"/>
        <item x="1"/>
        <item x="90"/>
        <item x="15"/>
        <item x="163"/>
        <item x="156"/>
        <item x="54"/>
        <item x="72"/>
        <item x="73"/>
        <item x="145"/>
        <item x="146"/>
        <item x="119"/>
        <item x="80"/>
        <item x="47"/>
        <item x="130"/>
        <item x="37"/>
        <item x="157"/>
        <item x="28"/>
        <item x="38"/>
        <item x="170"/>
        <item x="101"/>
        <item x="64"/>
        <item x="65"/>
        <item x="115"/>
        <item x="59"/>
        <item x="120"/>
        <item x="69"/>
        <item x="102"/>
        <item x="158"/>
        <item x="29"/>
        <item x="147"/>
        <item x="121"/>
        <item x="171"/>
        <item x="91"/>
        <item x="148"/>
        <item x="81"/>
        <item x="32"/>
        <item x="55"/>
        <item x="60"/>
        <item x="141"/>
        <item x="149"/>
        <item x="56"/>
        <item x="122"/>
        <item x="74"/>
        <item x="39"/>
        <item x="44"/>
        <item x="172"/>
        <item x="127"/>
        <item x="103"/>
        <item x="104"/>
        <item x="82"/>
        <item x="6"/>
        <item x="12"/>
        <item x="83"/>
        <item x="18"/>
        <item x="76"/>
        <item x="92"/>
        <item x="118"/>
        <item x="123"/>
        <item x="174"/>
        <item x="13"/>
        <item x="16"/>
        <item x="105"/>
        <item x="110"/>
        <item x="45"/>
        <item x="159"/>
        <item x="116"/>
        <item x="131"/>
        <item x="84"/>
        <item x="175"/>
        <item x="40"/>
        <item x="2"/>
        <item x="150"/>
        <item x="160"/>
        <item x="66"/>
        <item x="57"/>
        <item x="142"/>
        <item x="30"/>
        <item x="61"/>
        <item x="67"/>
        <item x="93"/>
        <item x="176"/>
        <item x="94"/>
        <item x="77"/>
        <item x="151"/>
        <item x="106"/>
        <item x="124"/>
        <item x="7"/>
        <item x="3"/>
        <item x="107"/>
        <item x="161"/>
        <item x="177"/>
        <item x="24"/>
        <item x="117"/>
        <item x="48"/>
        <item x="128"/>
        <item x="85"/>
        <item x="62"/>
        <item x="111"/>
        <item x="33"/>
        <item x="31"/>
        <item x="17"/>
        <item x="41"/>
        <item x="86"/>
        <item x="135"/>
        <item x="19"/>
        <item x="132"/>
        <item x="58"/>
        <item x="152"/>
        <item x="11"/>
        <item x="42"/>
        <item x="25"/>
        <item x="178"/>
        <item x="95"/>
        <item x="125"/>
        <item x="164"/>
        <item x="87"/>
        <item x="179"/>
        <item x="180"/>
        <item x="167"/>
        <item x="43"/>
        <item x="143"/>
        <item x="96"/>
        <item x="49"/>
        <item x="97"/>
        <item x="52"/>
        <item x="108"/>
        <item x="154"/>
        <item x="109"/>
        <item x="20"/>
        <item x="8"/>
        <item x="21"/>
        <item x="53"/>
        <item x="126"/>
        <item x="168"/>
        <item x="112"/>
        <item x="68"/>
        <item x="181"/>
        <item x="166"/>
        <item x="136"/>
        <item x="129"/>
        <item t="default"/>
      </items>
    </pivotField>
    <pivotField showAll="0">
      <items count="7">
        <item x="5"/>
        <item x="3"/>
        <item x="2"/>
        <item x="1"/>
        <item x="0"/>
        <item x="4"/>
        <item t="default"/>
      </items>
    </pivotField>
    <pivotField showAll="0" sortType="ascending">
      <items count="23">
        <item x="0"/>
        <item x="4"/>
        <item x="18"/>
        <item x="11"/>
        <item x="19"/>
        <item x="14"/>
        <item x="7"/>
        <item x="10"/>
        <item x="20"/>
        <item x="21"/>
        <item x="15"/>
        <item x="1"/>
        <item x="3"/>
        <item x="9"/>
        <item x="12"/>
        <item x="13"/>
        <item x="5"/>
        <item x="16"/>
        <item x="8"/>
        <item x="17"/>
        <item x="6"/>
        <item x="2"/>
        <item t="default"/>
      </items>
    </pivotField>
    <pivotField showAll="0">
      <items count="6">
        <item x="3"/>
        <item x="4"/>
        <item x="1"/>
        <item x="2"/>
        <item x="0"/>
        <item t="default"/>
      </items>
    </pivotField>
    <pivotField axis="axisRow" showAll="0">
      <items count="5">
        <item x="1"/>
        <item x="0"/>
        <item x="2"/>
        <item x="3"/>
        <item t="default"/>
      </items>
    </pivotField>
    <pivotField dataField="1" numFmtId="1" showAll="0"/>
    <pivotField dataField="1" numFmtId="164" showAll="0"/>
    <pivotField showAll="0">
      <items count="6">
        <item x="1"/>
        <item x="3"/>
        <item x="2"/>
        <item x="0"/>
        <item x="4"/>
        <item t="default"/>
      </items>
    </pivotField>
    <pivotField numFmtId="164" showAll="0"/>
    <pivotField showAll="0"/>
    <pivotField showAll="0"/>
    <pivotField numFmtId="164" showAll="0"/>
    <pivotField numFmtId="1" showAll="0"/>
    <pivotField numFmtId="164" showAll="0"/>
    <pivotField numFmtId="164" showAll="0"/>
    <pivotField numFmtId="164" showAll="0"/>
  </pivotFields>
  <rowFields count="1">
    <field x="4"/>
  </rowFields>
  <rowItems count="4">
    <i>
      <x/>
    </i>
    <i>
      <x v="1"/>
    </i>
    <i>
      <x v="2"/>
    </i>
    <i>
      <x v="3"/>
    </i>
  </rowItems>
  <colFields count="1">
    <field x="-2"/>
  </colFields>
  <colItems count="2">
    <i>
      <x/>
    </i>
    <i i="1">
      <x v="1"/>
    </i>
  </colItems>
  <dataFields count="2">
    <dataField name="Sum of Population" fld="5" baseField="0" baseItem="0" numFmtId="3"/>
    <dataField name="Sum of Monthly_wage(USD)" fld="6" baseField="0" baseItem="0"/>
  </dataFields>
  <formats count="31">
    <format dxfId="252">
      <pivotArea type="all" dataOnly="0" outline="0" fieldPosition="0"/>
    </format>
    <format dxfId="251">
      <pivotArea outline="0" collapsedLevelsAreSubtotals="1" fieldPosition="0"/>
    </format>
    <format dxfId="250">
      <pivotArea field="2" type="button" dataOnly="0" labelOnly="1" outline="0"/>
    </format>
    <format dxfId="249">
      <pivotArea dataOnly="0" labelOnly="1" grandRow="1" outline="0" fieldPosition="0"/>
    </format>
    <format dxfId="248">
      <pivotArea field="2" type="button" dataOnly="0" labelOnly="1" outline="0"/>
    </format>
    <format dxfId="247">
      <pivotArea type="all" dataOnly="0" outline="0" fieldPosition="0"/>
    </format>
    <format dxfId="246">
      <pivotArea field="2" type="button" dataOnly="0" labelOnly="1" outline="0"/>
    </format>
    <format dxfId="245">
      <pivotArea field="2" type="button" dataOnly="0" labelOnly="1" outline="0"/>
    </format>
    <format dxfId="244">
      <pivotArea dataOnly="0" labelOnly="1" outline="0" axis="axisValues" fieldPosition="0"/>
    </format>
    <format dxfId="243">
      <pivotArea dataOnly="0" labelOnly="1" outline="0" axis="axisValues" fieldPosition="0"/>
    </format>
    <format dxfId="242">
      <pivotArea outline="0" collapsedLevelsAreSubtotals="1" fieldPosition="0"/>
    </format>
    <format dxfId="241">
      <pivotArea dataOnly="0" labelOnly="1" outline="0" axis="axisValues" fieldPosition="0"/>
    </format>
    <format dxfId="240">
      <pivotArea dataOnly="0" labelOnly="1" outline="0" axis="axisValues" fieldPosition="0"/>
    </format>
    <format dxfId="239">
      <pivotArea type="all" dataOnly="0" outline="0" fieldPosition="0"/>
    </format>
    <format dxfId="238">
      <pivotArea outline="0" collapsedLevelsAreSubtotals="1" fieldPosition="0"/>
    </format>
    <format dxfId="237">
      <pivotArea field="2" type="button" dataOnly="0" labelOnly="1" outline="0"/>
    </format>
    <format dxfId="236">
      <pivotArea dataOnly="0" labelOnly="1" outline="0" axis="axisValues" fieldPosition="0"/>
    </format>
    <format dxfId="235">
      <pivotArea dataOnly="0" labelOnly="1" outline="0" axis="axisValues" fieldPosition="0"/>
    </format>
    <format dxfId="234">
      <pivotArea type="all" dataOnly="0" outline="0" fieldPosition="0"/>
    </format>
    <format dxfId="233">
      <pivotArea outline="0" collapsedLevelsAreSubtotals="1" fieldPosition="0"/>
    </format>
    <format dxfId="232">
      <pivotArea field="2" type="button" dataOnly="0" labelOnly="1" outline="0"/>
    </format>
    <format dxfId="231">
      <pivotArea dataOnly="0" labelOnly="1" outline="0" axis="axisValues" fieldPosition="0"/>
    </format>
    <format dxfId="230">
      <pivotArea dataOnly="0" labelOnly="1" outline="0" axis="axisValues" fieldPosition="0"/>
    </format>
    <format dxfId="229">
      <pivotArea type="all" dataOnly="0" outline="0" fieldPosition="0"/>
    </format>
    <format dxfId="228">
      <pivotArea outline="0" collapsedLevelsAreSubtotals="1" fieldPosition="0"/>
    </format>
    <format dxfId="227">
      <pivotArea field="2" type="button" dataOnly="0" labelOnly="1" outline="0"/>
    </format>
    <format dxfId="226">
      <pivotArea dataOnly="0" labelOnly="1" outline="0" axis="axisValues" fieldPosition="0"/>
    </format>
    <format dxfId="225">
      <pivotArea dataOnly="0" labelOnly="1" outline="0" axis="axisValues" fieldPosition="0"/>
    </format>
    <format dxfId="224">
      <pivotArea type="all" dataOnly="0" outline="0" fieldPosition="0"/>
    </format>
    <format dxfId="223">
      <pivotArea outline="0" collapsedLevelsAreSubtotals="1" fieldPosition="0"/>
    </format>
    <format dxfId="222">
      <pivotArea outline="0" collapsedLevelsAreSubtotals="1" fieldPosition="0">
        <references count="1">
          <reference field="4294967294" count="1" selected="0">
            <x v="0"/>
          </reference>
        </references>
      </pivotArea>
    </format>
  </formats>
  <pivotTableStyleInfo name="PivotStyleLight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a.csv_3" connectionId="1" autoFormatId="16" applyNumberFormats="0" applyBorderFormats="0" applyFontFormats="0" applyPatternFormats="0" applyAlignmentFormats="0" applyWidthHeightFormats="0"/>
</file>

<file path=xl/queryTables/queryTable2.xml><?xml version="1.0" encoding="utf-8"?>
<queryTable xmlns="http://schemas.openxmlformats.org/spreadsheetml/2006/main" name="a.csv_3" connectionId="2" autoFormatId="16" applyNumberFormats="0" applyBorderFormats="0" applyFontFormats="0" applyPatternFormats="0" applyAlignmentFormats="0" applyWidthHeightFormats="0"/>
</file>

<file path=xl/queryTables/queryTable3.xml><?xml version="1.0" encoding="utf-8"?>
<queryTable xmlns="http://schemas.openxmlformats.org/spreadsheetml/2006/main" name="a.csv_3" connectionId="3" autoFormatId="16" applyNumberFormats="0" applyBorderFormats="0" applyFontFormats="0" applyPatternFormats="0" applyAlignmentFormats="0" applyWidthHeightFormats="0"/>
</file>

<file path=xl/queryTables/queryTable4.xml><?xml version="1.0" encoding="utf-8"?>
<queryTable xmlns="http://schemas.openxmlformats.org/spreadsheetml/2006/main" name="ExternalData_1" connectionId="4" autoFormatId="0" applyNumberFormats="0" applyBorderFormats="0" applyFontFormats="1" applyPatternFormats="1" applyAlignmentFormats="0" applyWidthHeightFormats="0">
  <queryTableRefresh preserveSortFilterLayout="0" nextId="17">
    <queryTableFields count="16">
      <queryTableField id="1" name="Country" tableColumnId="33"/>
      <queryTableField id="2" name="Continent" tableColumnId="34"/>
      <queryTableField id="3" name="Subregion" tableColumnId="35"/>
      <queryTableField id="4" name="Development Level" tableColumnId="36"/>
      <queryTableField id="5" name="Unemployment Level" tableColumnId="37"/>
      <queryTableField id="6" name="Population" tableColumnId="38"/>
      <queryTableField id="7" name="Monthly_wage(USD)" tableColumnId="39"/>
      <queryTableField id="8" name="Wage Rating" tableColumnId="40"/>
      <queryTableField id="9" name="Average_Monthly_Salary(USD)" tableColumnId="41"/>
      <queryTableField id="10" name="Average Salary Rating" tableColumnId="42"/>
      <queryTableField id="11" name="Cost of Living Rating" tableColumnId="43"/>
      <queryTableField id="12" name="Estimated Total Monthly Cost(USD)" tableColumnId="44"/>
      <queryTableField id="13" name="Inflation Rate (%)2025_2026" tableColumnId="45"/>
      <queryTableField id="14" name="GDP_Nominal(USD)" tableColumnId="46"/>
      <queryTableField id="15" name="Disposable Income" tableColumnId="47"/>
      <queryTableField id="16" name="GDP per Capita" tableColumnId="48"/>
    </queryTableFields>
  </queryTableRefresh>
</queryTable>
</file>

<file path=xl/queryTables/queryTable5.xml><?xml version="1.0" encoding="utf-8"?>
<queryTable xmlns="http://schemas.openxmlformats.org/spreadsheetml/2006/main" name="ExternalData_1" connectionId="5" autoFormatId="0" applyNumberFormats="0" applyBorderFormats="0" applyFontFormats="1" applyPatternFormats="1" applyAlignmentFormats="0" applyWidthHeightFormats="0">
  <queryTableRefresh preserveSortFilterLayout="0" nextId="17">
    <queryTableFields count="16">
      <queryTableField id="1" name="Country" tableColumnId="33"/>
      <queryTableField id="2" name="Continent" tableColumnId="34"/>
      <queryTableField id="3" name="Subregion" tableColumnId="35"/>
      <queryTableField id="4" name="Development Level" tableColumnId="36"/>
      <queryTableField id="5" name="Unemployment Level" tableColumnId="37"/>
      <queryTableField id="6" name="Population" tableColumnId="38"/>
      <queryTableField id="7" name="Monthly_wage(USD)" tableColumnId="39"/>
      <queryTableField id="8" name="Wage Rating" tableColumnId="40"/>
      <queryTableField id="9" name="Average_Monthly_Salary(USD)" tableColumnId="41"/>
      <queryTableField id="10" name="Average Salary Rating" tableColumnId="42"/>
      <queryTableField id="11" name="Cost of Living Rating" tableColumnId="43"/>
      <queryTableField id="12" name="Estimated Total Monthly Cost(USD)" tableColumnId="44"/>
      <queryTableField id="13" name="Inflation Rate (%)2025_2026" tableColumnId="45"/>
      <queryTableField id="14" name="GDP_Nominal(USD)" tableColumnId="46"/>
      <queryTableField id="15" name="Disposable Income" tableColumnId="47"/>
      <queryTableField id="16" name="GDP per Capita" tableColumnId="4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ontinent" sourceName="Continent">
  <pivotTables>
    <pivotTable tabId="20" name="PivotTable1"/>
    <pivotTable tabId="20" name="PivotTable7"/>
    <pivotTable tabId="20" name="PivotTable9"/>
    <pivotTable tabId="20" name="PivotTable10"/>
    <pivotTable tabId="20" name="PivotTable11"/>
    <pivotTable tabId="20" name="PivotTable12"/>
    <pivotTable tabId="20" name="PivotTable2"/>
    <pivotTable tabId="20" name="PivotTable3"/>
  </pivotTables>
  <data>
    <tabular pivotCacheId="1">
      <items count="6">
        <i x="5" s="1"/>
        <i x="3" s="1"/>
        <i x="2" s="1"/>
        <i x="1"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evelopment_Level" sourceName="Development Level">
  <pivotTables>
    <pivotTable tabId="20" name="PivotTable1"/>
    <pivotTable tabId="20" name="PivotTable10"/>
    <pivotTable tabId="20" name="PivotTable11"/>
    <pivotTable tabId="20" name="PivotTable12"/>
    <pivotTable tabId="20" name="PivotTable2"/>
    <pivotTable tabId="20" name="PivotTable7"/>
    <pivotTable tabId="20" name="PivotTable9"/>
    <pivotTable tabId="20" name="PivotTable3"/>
  </pivotTables>
  <data>
    <tabular pivotCacheId="1">
      <items count="5">
        <i x="3" s="1"/>
        <i x="4" s="1"/>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Unemployment_Level" sourceName="Unemployment Level">
  <pivotTables>
    <pivotTable tabId="20" name="PivotTable1"/>
    <pivotTable tabId="20" name="PivotTable10"/>
    <pivotTable tabId="20" name="PivotTable11"/>
    <pivotTable tabId="20" name="PivotTable12"/>
    <pivotTable tabId="20" name="PivotTable2"/>
    <pivotTable tabId="20" name="PivotTable7"/>
    <pivotTable tabId="20" name="PivotTable9"/>
    <pivotTable tabId="20" name="PivotTable3"/>
  </pivotTables>
  <data>
    <tabular pivotCacheId="1">
      <items count="4">
        <i x="1" s="1"/>
        <i x="0"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Wage_Rating" sourceName="Wage Rating">
  <pivotTables>
    <pivotTable tabId="20" name="PivotTable1"/>
    <pivotTable tabId="20" name="PivotTable10"/>
    <pivotTable tabId="20" name="PivotTable11"/>
    <pivotTable tabId="20" name="PivotTable12"/>
    <pivotTable tabId="20" name="PivotTable2"/>
    <pivotTable tabId="20" name="PivotTable7"/>
    <pivotTable tabId="20" name="PivotTable9"/>
    <pivotTable tabId="20" name="PivotTable3"/>
  </pivotTables>
  <data>
    <tabular pivotCacheId="1">
      <items count="5">
        <i x="1" s="1"/>
        <i x="3" s="1"/>
        <i x="2"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ontinent" cache="Slicer_Continent" caption="Continent" rowHeight="241300"/>
  <slicer name="Development Level" cache="Slicer_Development_Level" caption="Development Level" startItem="1" rowHeight="241300"/>
  <slicer name="Unemployment Level" cache="Slicer_Unemployment_Level" caption="Unemployment Level" rowHeight="241300"/>
  <slicer name="Wage Rating" cache="Slicer_Wage_Rating" caption="Wage Rating" rowHeight="241300"/>
</slicer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id="1" name="Table1" displayName="Table1" ref="G1:G183" totalsRowShown="0" headerRowDxfId="317" dataDxfId="315" headerRowBorderDxfId="316" tableBorderDxfId="314" totalsRowBorderDxfId="313">
  <autoFilter ref="G1:G183"/>
  <tableColumns count="1">
    <tableColumn id="1" name="Monthly_wage(USD)" dataDxfId="312"/>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A1:F183" totalsRowShown="0" headerRowDxfId="311" dataDxfId="309" headerRowBorderDxfId="310" tableBorderDxfId="308" totalsRowBorderDxfId="307">
  <autoFilter ref="A1:F183"/>
  <tableColumns count="6">
    <tableColumn id="1" name="Country" dataDxfId="306"/>
    <tableColumn id="2" name="Continent" dataDxfId="305"/>
    <tableColumn id="3" name="Subregion" dataDxfId="304"/>
    <tableColumn id="4" name="Development Level" dataDxfId="303"/>
    <tableColumn id="5" name="Unemployment Level" dataDxfId="302"/>
    <tableColumn id="6" name="Population" dataDxfId="301"/>
  </tableColumns>
  <tableStyleInfo name="TableStyleMedium2" showFirstColumn="0" showLastColumn="0" showRowStripes="1" showColumnStripes="0"/>
</table>
</file>

<file path=xl/tables/table3.xml><?xml version="1.0" encoding="utf-8"?>
<table xmlns="http://schemas.openxmlformats.org/spreadsheetml/2006/main" id="3" name="Table3" displayName="Table3" ref="H1:P183" totalsRowShown="0" headerRowDxfId="300" headerRowBorderDxfId="299" tableBorderDxfId="298" totalsRowBorderDxfId="297">
  <autoFilter ref="H1:P183"/>
  <tableColumns count="9">
    <tableColumn id="1" name="Wage Rating" dataDxfId="296"/>
    <tableColumn id="2" name="Average_Monthly_Salary(USD)" dataDxfId="295"/>
    <tableColumn id="3" name="Average Salary Rating" dataDxfId="294"/>
    <tableColumn id="4" name="Cost of Living Rating" dataDxfId="293"/>
    <tableColumn id="5" name="Estimated Total Monthly Cost(USD)" dataDxfId="292"/>
    <tableColumn id="6" name="Inflation Rate (%)2025_2026" dataDxfId="291"/>
    <tableColumn id="7" name="GDP_Nominal(USD)" dataDxfId="290"/>
    <tableColumn id="8" name="Disposable Income" dataDxfId="289">
      <calculatedColumnFormula>I2-L2</calculatedColumnFormula>
    </tableColumn>
    <tableColumn id="9" name="GDP per Capita" dataDxfId="288">
      <calculatedColumnFormula>N2/F2</calculatedColumnFormula>
    </tableColumn>
  </tableColumns>
  <tableStyleInfo name="TableStyleMedium2" showFirstColumn="0" showLastColumn="0" showRowStripes="1" showColumnStripes="0"/>
</table>
</file>

<file path=xl/tables/table4.xml><?xml version="1.0" encoding="utf-8"?>
<table xmlns="http://schemas.openxmlformats.org/spreadsheetml/2006/main" id="4" name="Table_Easy_sorting" displayName="Table_Easy_sorting" ref="A1:P183" tableType="queryTable" totalsRowShown="0">
  <autoFilter ref="A1:P183"/>
  <tableColumns count="16">
    <tableColumn id="33" uniqueName="33" name="Country" queryTableFieldId="1" dataDxfId="287"/>
    <tableColumn id="34" uniqueName="34" name="Continent" queryTableFieldId="2" dataDxfId="286"/>
    <tableColumn id="35" uniqueName="35" name="Subregion" queryTableFieldId="3" dataDxfId="285"/>
    <tableColumn id="36" uniqueName="36" name="Development Level" queryTableFieldId="4" dataDxfId="284"/>
    <tableColumn id="37" uniqueName="37" name="Unemployment Level" queryTableFieldId="5" dataDxfId="283"/>
    <tableColumn id="38" uniqueName="38" name="Population" queryTableFieldId="6" dataDxfId="282"/>
    <tableColumn id="39" uniqueName="39" name="Monthly_wage(USD)" queryTableFieldId="7" dataDxfId="281"/>
    <tableColumn id="40" uniqueName="40" name="Wage Rating" queryTableFieldId="8" dataDxfId="280"/>
    <tableColumn id="41" uniqueName="41" name="Average_Monthly_Salary(USD)" queryTableFieldId="9" dataDxfId="279"/>
    <tableColumn id="42" uniqueName="42" name="Average Salary Rating" queryTableFieldId="10" dataDxfId="278"/>
    <tableColumn id="43" uniqueName="43" name="Cost of Living Rating" queryTableFieldId="11" dataDxfId="277"/>
    <tableColumn id="44" uniqueName="44" name="Estimated Total Monthly Cost(USD)" queryTableFieldId="12" dataDxfId="276"/>
    <tableColumn id="45" uniqueName="45" name="Inflation Rate (%)2025_2026" queryTableFieldId="13" dataDxfId="275"/>
    <tableColumn id="46" uniqueName="46" name="GDP_Nominal(USD)" queryTableFieldId="14" dataDxfId="274"/>
    <tableColumn id="47" uniqueName="47" name="Disposable Income" queryTableFieldId="15" dataDxfId="273"/>
    <tableColumn id="48" uniqueName="48" name="GDP per Capita" queryTableFieldId="16" dataDxfId="272"/>
  </tableColumns>
  <tableStyleInfo name="TableStyleLight14" showFirstColumn="0" showLastColumn="0" showRowStripes="1" showColumnStripes="0"/>
</table>
</file>

<file path=xl/tables/table5.xml><?xml version="1.0" encoding="utf-8"?>
<table xmlns="http://schemas.openxmlformats.org/spreadsheetml/2006/main" id="5" name="Table_Easy_sorting6" displayName="Table_Easy_sorting6" ref="A1:P183" tableType="queryTable" totalsRowShown="0">
  <autoFilter ref="A1:P183"/>
  <sortState ref="A2:P183">
    <sortCondition descending="1" ref="G7"/>
  </sortState>
  <tableColumns count="16">
    <tableColumn id="33" uniqueName="33" name="Country" queryTableFieldId="1" dataDxfId="268"/>
    <tableColumn id="34" uniqueName="34" name="Continent" queryTableFieldId="2" dataDxfId="267"/>
    <tableColumn id="35" uniqueName="35" name="Subregion" queryTableFieldId="3" dataDxfId="266"/>
    <tableColumn id="36" uniqueName="36" name="Development Level" queryTableFieldId="4" dataDxfId="265"/>
    <tableColumn id="37" uniqueName="37" name="Unemployment Level" queryTableFieldId="5" dataDxfId="264"/>
    <tableColumn id="38" uniqueName="38" name="Population" queryTableFieldId="6" dataDxfId="263"/>
    <tableColumn id="39" uniqueName="39" name="Monthly_wage(USD)" queryTableFieldId="7" dataDxfId="262"/>
    <tableColumn id="40" uniqueName="40" name="Wage Rating" queryTableFieldId="8" dataDxfId="261"/>
    <tableColumn id="41" uniqueName="41" name="Average_Monthly_Salary(USD)" queryTableFieldId="9" dataDxfId="260"/>
    <tableColumn id="42" uniqueName="42" name="Average Salary Rating" queryTableFieldId="10" dataDxfId="259"/>
    <tableColumn id="43" uniqueName="43" name="Cost of Living Rating" queryTableFieldId="11" dataDxfId="258"/>
    <tableColumn id="44" uniqueName="44" name="Estimated Total Monthly Cost(USD)" queryTableFieldId="12" dataDxfId="257"/>
    <tableColumn id="45" uniqueName="45" name="Inflation Rate (%)2025_2026" queryTableFieldId="13" dataDxfId="256"/>
    <tableColumn id="46" uniqueName="46" name="GDP_Nominal(USD)" queryTableFieldId="14" dataDxfId="255"/>
    <tableColumn id="47" uniqueName="47" name="Disposable Income" queryTableFieldId="15" dataDxfId="254"/>
    <tableColumn id="48" uniqueName="48" name="GDP per Capita" queryTableFieldId="16" dataDxfId="253"/>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2.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queryTable" Target="../queryTables/queryTable3.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vmlDrawing" Target="../drawings/vmlDrawing3.vml"/><Relationship Id="rId5" Type="http://schemas.openxmlformats.org/officeDocument/2006/relationships/comments" Target="../comments3.xml"/><Relationship Id="rId4"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table" Target="../tables/table5.xml"/><Relationship Id="rId1"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xml"/><Relationship Id="rId1" Type="http://schemas.openxmlformats.org/officeDocument/2006/relationships/printerSettings" Target="../printerSettings/printerSettings5.bin"/><Relationship Id="rId5" Type="http://schemas.openxmlformats.org/officeDocument/2006/relationships/comments" Target="../comments6.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499984740745262"/>
  </sheetPr>
  <dimension ref="A1:R183"/>
  <sheetViews>
    <sheetView topLeftCell="I4" workbookViewId="0">
      <selection activeCell="I16" sqref="I16"/>
    </sheetView>
  </sheetViews>
  <sheetFormatPr defaultRowHeight="15" x14ac:dyDescent="0.25"/>
  <cols>
    <col min="1" max="1" width="27.140625" bestFit="1" customWidth="1"/>
    <col min="2" max="2" width="14" bestFit="1" customWidth="1"/>
    <col min="3" max="3" width="23.140625" bestFit="1" customWidth="1"/>
    <col min="4" max="4" width="20" bestFit="1" customWidth="1"/>
    <col min="5" max="5" width="20.28515625" bestFit="1" customWidth="1"/>
    <col min="6" max="6" width="12.7109375" bestFit="1" customWidth="1"/>
    <col min="7" max="7" width="19.42578125" bestFit="1" customWidth="1"/>
    <col min="8" max="8" width="22.5703125" bestFit="1" customWidth="1"/>
    <col min="9" max="9" width="28.5703125" bestFit="1" customWidth="1"/>
    <col min="10" max="10" width="21.5703125" bestFit="1" customWidth="1"/>
    <col min="11" max="11" width="20.7109375" bestFit="1" customWidth="1"/>
    <col min="12" max="12" width="32.5703125" bestFit="1" customWidth="1"/>
    <col min="13" max="13" width="26" bestFit="1" customWidth="1"/>
    <col min="14" max="14" width="43.7109375" bestFit="1" customWidth="1"/>
    <col min="18" max="18" width="11.140625" bestFit="1" customWidth="1"/>
  </cols>
  <sheetData>
    <row r="1" spans="1:14" x14ac:dyDescent="0.25">
      <c r="A1" t="s">
        <v>0</v>
      </c>
      <c r="B1" t="s">
        <v>1</v>
      </c>
      <c r="C1" t="s">
        <v>2</v>
      </c>
      <c r="D1" t="s">
        <v>212</v>
      </c>
      <c r="E1" t="s">
        <v>218</v>
      </c>
      <c r="F1" t="s">
        <v>223</v>
      </c>
      <c r="G1" t="s">
        <v>225</v>
      </c>
      <c r="H1" t="s">
        <v>226</v>
      </c>
      <c r="I1" t="s">
        <v>229</v>
      </c>
      <c r="J1" t="s">
        <v>231</v>
      </c>
      <c r="K1" t="s">
        <v>232</v>
      </c>
      <c r="L1" t="s">
        <v>233</v>
      </c>
      <c r="M1" t="s">
        <v>234</v>
      </c>
      <c r="N1" t="s">
        <v>235</v>
      </c>
    </row>
    <row r="2" spans="1:14" x14ac:dyDescent="0.25">
      <c r="A2" t="s">
        <v>3</v>
      </c>
      <c r="B2" t="s">
        <v>4</v>
      </c>
      <c r="C2" t="s">
        <v>5</v>
      </c>
      <c r="D2" t="s">
        <v>213</v>
      </c>
      <c r="E2" t="s">
        <v>219</v>
      </c>
      <c r="F2" s="1">
        <v>42000000</v>
      </c>
      <c r="G2">
        <v>50</v>
      </c>
      <c r="H2" t="s">
        <v>227</v>
      </c>
      <c r="I2">
        <v>90</v>
      </c>
      <c r="J2" t="s">
        <v>230</v>
      </c>
      <c r="K2" t="s">
        <v>230</v>
      </c>
      <c r="L2">
        <v>180</v>
      </c>
      <c r="M2">
        <v>10</v>
      </c>
      <c r="N2">
        <v>20</v>
      </c>
    </row>
    <row r="3" spans="1:14" x14ac:dyDescent="0.25">
      <c r="A3" t="s">
        <v>6</v>
      </c>
      <c r="B3" t="s">
        <v>7</v>
      </c>
      <c r="C3" t="s">
        <v>8</v>
      </c>
      <c r="D3" t="s">
        <v>214</v>
      </c>
      <c r="E3" t="s">
        <v>220</v>
      </c>
      <c r="F3" s="1">
        <v>2800000</v>
      </c>
      <c r="G3">
        <v>320</v>
      </c>
      <c r="H3" t="s">
        <v>224</v>
      </c>
      <c r="I3">
        <v>680</v>
      </c>
      <c r="J3" t="s">
        <v>221</v>
      </c>
      <c r="K3" t="s">
        <v>221</v>
      </c>
      <c r="L3">
        <v>520</v>
      </c>
      <c r="M3">
        <v>4</v>
      </c>
      <c r="N3">
        <v>28</v>
      </c>
    </row>
    <row r="4" spans="1:14" x14ac:dyDescent="0.25">
      <c r="A4" t="s">
        <v>9</v>
      </c>
      <c r="B4" t="s">
        <v>10</v>
      </c>
      <c r="C4" t="s">
        <v>11</v>
      </c>
      <c r="D4" t="s">
        <v>214</v>
      </c>
      <c r="E4" t="s">
        <v>220</v>
      </c>
      <c r="F4" s="1">
        <v>46000000</v>
      </c>
      <c r="G4">
        <v>150</v>
      </c>
      <c r="H4" t="s">
        <v>221</v>
      </c>
      <c r="I4">
        <v>520</v>
      </c>
      <c r="J4" t="s">
        <v>221</v>
      </c>
      <c r="K4" t="s">
        <v>221</v>
      </c>
      <c r="L4">
        <v>450</v>
      </c>
      <c r="M4">
        <v>5</v>
      </c>
      <c r="N4">
        <v>260</v>
      </c>
    </row>
    <row r="5" spans="1:14" x14ac:dyDescent="0.25">
      <c r="A5" t="s">
        <v>12</v>
      </c>
      <c r="B5" t="s">
        <v>13</v>
      </c>
      <c r="C5" t="s">
        <v>14</v>
      </c>
      <c r="D5" t="s">
        <v>214</v>
      </c>
      <c r="E5" t="s">
        <v>220</v>
      </c>
      <c r="F5" s="1">
        <v>50000</v>
      </c>
      <c r="G5">
        <v>1200</v>
      </c>
      <c r="H5" t="s">
        <v>220</v>
      </c>
      <c r="I5">
        <v>2900</v>
      </c>
      <c r="J5" t="s">
        <v>220</v>
      </c>
      <c r="K5" t="s">
        <v>220</v>
      </c>
      <c r="L5">
        <v>1800</v>
      </c>
      <c r="M5">
        <v>3</v>
      </c>
      <c r="N5">
        <v>1</v>
      </c>
    </row>
    <row r="6" spans="1:14" x14ac:dyDescent="0.25">
      <c r="A6" t="s">
        <v>15</v>
      </c>
      <c r="B6" t="s">
        <v>7</v>
      </c>
      <c r="C6" t="s">
        <v>8</v>
      </c>
      <c r="D6" t="s">
        <v>215</v>
      </c>
      <c r="E6" t="s">
        <v>221</v>
      </c>
      <c r="F6" s="1">
        <v>80000</v>
      </c>
      <c r="G6">
        <v>1600</v>
      </c>
      <c r="H6" t="s">
        <v>228</v>
      </c>
      <c r="I6">
        <v>3200</v>
      </c>
      <c r="J6" t="s">
        <v>220</v>
      </c>
      <c r="K6" t="s">
        <v>228</v>
      </c>
      <c r="L6">
        <v>2200</v>
      </c>
      <c r="M6">
        <v>3</v>
      </c>
      <c r="N6">
        <v>3</v>
      </c>
    </row>
    <row r="7" spans="1:14" x14ac:dyDescent="0.25">
      <c r="A7" t="s">
        <v>16</v>
      </c>
      <c r="B7" t="s">
        <v>10</v>
      </c>
      <c r="C7" t="s">
        <v>17</v>
      </c>
      <c r="D7" t="s">
        <v>213</v>
      </c>
      <c r="E7" t="s">
        <v>219</v>
      </c>
      <c r="F7" s="1">
        <v>36000000</v>
      </c>
      <c r="G7">
        <v>70</v>
      </c>
      <c r="H7" t="s">
        <v>227</v>
      </c>
      <c r="I7">
        <v>210</v>
      </c>
      <c r="J7" t="s">
        <v>230</v>
      </c>
      <c r="K7" t="s">
        <v>221</v>
      </c>
      <c r="L7">
        <v>500</v>
      </c>
      <c r="M7">
        <v>20</v>
      </c>
      <c r="N7">
        <v>115</v>
      </c>
    </row>
    <row r="8" spans="1:14" x14ac:dyDescent="0.25">
      <c r="A8" t="s">
        <v>18</v>
      </c>
      <c r="B8" t="s">
        <v>19</v>
      </c>
      <c r="C8" t="s">
        <v>20</v>
      </c>
      <c r="D8" t="s">
        <v>214</v>
      </c>
      <c r="E8" t="s">
        <v>220</v>
      </c>
      <c r="F8" s="1">
        <v>15000</v>
      </c>
      <c r="G8">
        <v>1000</v>
      </c>
      <c r="H8" t="s">
        <v>220</v>
      </c>
      <c r="I8">
        <v>2600</v>
      </c>
      <c r="J8" t="s">
        <v>220</v>
      </c>
      <c r="K8" t="s">
        <v>220</v>
      </c>
      <c r="L8">
        <v>2200</v>
      </c>
      <c r="M8">
        <v>3</v>
      </c>
      <c r="N8">
        <v>1</v>
      </c>
    </row>
    <row r="9" spans="1:14" x14ac:dyDescent="0.25">
      <c r="A9" t="s">
        <v>21</v>
      </c>
      <c r="B9" t="s">
        <v>19</v>
      </c>
      <c r="C9" t="s">
        <v>20</v>
      </c>
      <c r="D9" t="s">
        <v>216</v>
      </c>
      <c r="E9" t="s">
        <v>222</v>
      </c>
      <c r="F9" s="1">
        <v>100000</v>
      </c>
      <c r="G9">
        <v>600</v>
      </c>
      <c r="H9" t="s">
        <v>224</v>
      </c>
      <c r="I9">
        <v>1900</v>
      </c>
      <c r="J9" t="s">
        <v>224</v>
      </c>
      <c r="K9" t="s">
        <v>220</v>
      </c>
      <c r="L9">
        <v>2000</v>
      </c>
      <c r="M9">
        <v>4</v>
      </c>
      <c r="N9">
        <v>2</v>
      </c>
    </row>
    <row r="10" spans="1:14" x14ac:dyDescent="0.25">
      <c r="A10" t="s">
        <v>22</v>
      </c>
      <c r="B10" t="s">
        <v>23</v>
      </c>
      <c r="C10" t="s">
        <v>23</v>
      </c>
      <c r="D10" t="s">
        <v>216</v>
      </c>
      <c r="E10" t="s">
        <v>222</v>
      </c>
      <c r="F10" s="1">
        <v>46000000</v>
      </c>
      <c r="G10">
        <v>200</v>
      </c>
      <c r="H10" t="s">
        <v>221</v>
      </c>
      <c r="I10">
        <v>640</v>
      </c>
      <c r="J10" t="s">
        <v>221</v>
      </c>
      <c r="K10" t="s">
        <v>224</v>
      </c>
      <c r="L10">
        <v>650</v>
      </c>
      <c r="M10">
        <v>30</v>
      </c>
      <c r="N10">
        <v>620</v>
      </c>
    </row>
    <row r="11" spans="1:14" x14ac:dyDescent="0.25">
      <c r="A11" t="s">
        <v>24</v>
      </c>
      <c r="B11" t="s">
        <v>4</v>
      </c>
      <c r="C11" t="s">
        <v>25</v>
      </c>
      <c r="D11" t="s">
        <v>214</v>
      </c>
      <c r="E11" t="s">
        <v>220</v>
      </c>
      <c r="F11" s="1">
        <v>3000000</v>
      </c>
      <c r="G11">
        <v>300</v>
      </c>
      <c r="H11" t="s">
        <v>224</v>
      </c>
      <c r="I11">
        <v>720</v>
      </c>
      <c r="J11" t="s">
        <v>221</v>
      </c>
      <c r="K11" t="s">
        <v>221</v>
      </c>
      <c r="L11">
        <v>500</v>
      </c>
      <c r="M11">
        <v>4</v>
      </c>
      <c r="N11">
        <v>28</v>
      </c>
    </row>
    <row r="12" spans="1:14" x14ac:dyDescent="0.25">
      <c r="A12" t="s">
        <v>26</v>
      </c>
      <c r="B12" t="s">
        <v>19</v>
      </c>
      <c r="C12" t="s">
        <v>20</v>
      </c>
      <c r="D12" t="s">
        <v>216</v>
      </c>
      <c r="E12" t="s">
        <v>222</v>
      </c>
      <c r="F12" s="1">
        <v>110000</v>
      </c>
      <c r="G12">
        <v>900</v>
      </c>
      <c r="H12" t="s">
        <v>220</v>
      </c>
      <c r="I12">
        <v>2400</v>
      </c>
      <c r="J12" t="s">
        <v>220</v>
      </c>
      <c r="K12" t="s">
        <v>228</v>
      </c>
      <c r="L12">
        <v>2400</v>
      </c>
      <c r="M12">
        <v>4</v>
      </c>
      <c r="N12">
        <v>4</v>
      </c>
    </row>
    <row r="13" spans="1:14" x14ac:dyDescent="0.25">
      <c r="A13" t="s">
        <v>27</v>
      </c>
      <c r="B13" t="s">
        <v>13</v>
      </c>
      <c r="C13" t="s">
        <v>28</v>
      </c>
      <c r="D13" t="s">
        <v>215</v>
      </c>
      <c r="E13" t="s">
        <v>221</v>
      </c>
      <c r="F13" s="1">
        <v>26000000</v>
      </c>
      <c r="G13">
        <v>2600</v>
      </c>
      <c r="H13" t="s">
        <v>228</v>
      </c>
      <c r="I13">
        <v>5000</v>
      </c>
      <c r="J13" t="s">
        <v>228</v>
      </c>
      <c r="K13" t="s">
        <v>228</v>
      </c>
      <c r="L13">
        <v>2800</v>
      </c>
      <c r="M13">
        <v>3</v>
      </c>
      <c r="N13">
        <v>1800</v>
      </c>
    </row>
    <row r="14" spans="1:14" x14ac:dyDescent="0.25">
      <c r="A14" t="s">
        <v>29</v>
      </c>
      <c r="B14" t="s">
        <v>7</v>
      </c>
      <c r="C14" t="s">
        <v>30</v>
      </c>
      <c r="D14" t="s">
        <v>215</v>
      </c>
      <c r="E14" t="s">
        <v>221</v>
      </c>
      <c r="F14" s="1">
        <v>9000000</v>
      </c>
      <c r="G14">
        <v>0</v>
      </c>
      <c r="H14" t="s">
        <v>228</v>
      </c>
      <c r="I14">
        <v>4300</v>
      </c>
      <c r="J14" t="s">
        <v>220</v>
      </c>
      <c r="K14" t="s">
        <v>228</v>
      </c>
      <c r="L14">
        <v>2700</v>
      </c>
      <c r="M14">
        <v>3</v>
      </c>
      <c r="N14">
        <v>690</v>
      </c>
    </row>
    <row r="15" spans="1:14" x14ac:dyDescent="0.25">
      <c r="A15" t="s">
        <v>31</v>
      </c>
      <c r="B15" t="s">
        <v>4</v>
      </c>
      <c r="C15" t="s">
        <v>25</v>
      </c>
      <c r="D15" t="s">
        <v>214</v>
      </c>
      <c r="E15" t="s">
        <v>220</v>
      </c>
      <c r="F15" s="1">
        <v>10000000</v>
      </c>
      <c r="G15">
        <v>200</v>
      </c>
      <c r="H15" t="s">
        <v>221</v>
      </c>
      <c r="I15">
        <v>560</v>
      </c>
      <c r="J15" t="s">
        <v>221</v>
      </c>
      <c r="K15" t="s">
        <v>221</v>
      </c>
      <c r="L15">
        <v>420</v>
      </c>
      <c r="M15">
        <v>5</v>
      </c>
      <c r="N15">
        <v>85</v>
      </c>
    </row>
    <row r="16" spans="1:14" x14ac:dyDescent="0.25">
      <c r="A16" t="s">
        <v>32</v>
      </c>
      <c r="B16" t="s">
        <v>19</v>
      </c>
      <c r="C16" t="s">
        <v>20</v>
      </c>
      <c r="D16" t="s">
        <v>216</v>
      </c>
      <c r="E16" t="s">
        <v>222</v>
      </c>
      <c r="F16" s="1">
        <v>400000</v>
      </c>
      <c r="G16">
        <v>900</v>
      </c>
      <c r="H16" t="s">
        <v>220</v>
      </c>
      <c r="I16">
        <v>2900</v>
      </c>
      <c r="J16" t="s">
        <v>220</v>
      </c>
      <c r="K16" t="s">
        <v>228</v>
      </c>
      <c r="L16">
        <v>2500</v>
      </c>
      <c r="M16">
        <v>4</v>
      </c>
      <c r="N16">
        <v>14</v>
      </c>
    </row>
    <row r="17" spans="1:14" x14ac:dyDescent="0.25">
      <c r="A17" t="s">
        <v>33</v>
      </c>
      <c r="B17" t="s">
        <v>4</v>
      </c>
      <c r="C17" t="s">
        <v>25</v>
      </c>
      <c r="D17" t="s">
        <v>215</v>
      </c>
      <c r="E17" t="s">
        <v>221</v>
      </c>
      <c r="F17" s="1">
        <v>1700000</v>
      </c>
      <c r="G17">
        <v>1000</v>
      </c>
      <c r="H17" t="s">
        <v>220</v>
      </c>
      <c r="I17">
        <v>3200</v>
      </c>
      <c r="J17" t="s">
        <v>220</v>
      </c>
      <c r="K17" t="s">
        <v>220</v>
      </c>
      <c r="L17">
        <v>1800</v>
      </c>
      <c r="M17">
        <v>2</v>
      </c>
      <c r="N17">
        <v>60</v>
      </c>
    </row>
    <row r="18" spans="1:14" x14ac:dyDescent="0.25">
      <c r="A18" t="s">
        <v>34</v>
      </c>
      <c r="B18" t="s">
        <v>4</v>
      </c>
      <c r="C18" t="s">
        <v>5</v>
      </c>
      <c r="D18" t="s">
        <v>214</v>
      </c>
      <c r="E18" t="s">
        <v>220</v>
      </c>
      <c r="F18" s="1">
        <v>173000000</v>
      </c>
      <c r="G18">
        <v>75</v>
      </c>
      <c r="H18" t="s">
        <v>227</v>
      </c>
      <c r="I18">
        <v>260</v>
      </c>
      <c r="J18" t="s">
        <v>230</v>
      </c>
      <c r="K18" t="s">
        <v>230</v>
      </c>
      <c r="L18">
        <v>220</v>
      </c>
      <c r="M18">
        <v>8</v>
      </c>
      <c r="N18">
        <v>560</v>
      </c>
    </row>
    <row r="19" spans="1:14" x14ac:dyDescent="0.25">
      <c r="A19" t="s">
        <v>35</v>
      </c>
      <c r="B19" t="s">
        <v>19</v>
      </c>
      <c r="C19" t="s">
        <v>20</v>
      </c>
      <c r="D19" t="s">
        <v>216</v>
      </c>
      <c r="E19" t="s">
        <v>222</v>
      </c>
      <c r="F19" s="1">
        <v>280000</v>
      </c>
      <c r="G19">
        <v>700</v>
      </c>
      <c r="H19" t="s">
        <v>220</v>
      </c>
      <c r="I19">
        <v>2200</v>
      </c>
      <c r="J19" t="s">
        <v>220</v>
      </c>
      <c r="K19" t="s">
        <v>220</v>
      </c>
      <c r="L19">
        <v>2100</v>
      </c>
      <c r="M19">
        <v>4</v>
      </c>
      <c r="N19">
        <v>7</v>
      </c>
    </row>
    <row r="20" spans="1:14" x14ac:dyDescent="0.25">
      <c r="A20" t="s">
        <v>36</v>
      </c>
      <c r="B20" t="s">
        <v>7</v>
      </c>
      <c r="C20" t="s">
        <v>37</v>
      </c>
      <c r="D20" t="s">
        <v>214</v>
      </c>
      <c r="E20" t="s">
        <v>220</v>
      </c>
      <c r="F20" s="1">
        <v>9200000</v>
      </c>
      <c r="G20">
        <v>250</v>
      </c>
      <c r="H20" t="s">
        <v>221</v>
      </c>
      <c r="I20">
        <v>700</v>
      </c>
      <c r="J20" t="s">
        <v>221</v>
      </c>
      <c r="K20" t="s">
        <v>221</v>
      </c>
      <c r="L20">
        <v>450</v>
      </c>
      <c r="M20">
        <v>6</v>
      </c>
      <c r="N20">
        <v>85</v>
      </c>
    </row>
    <row r="21" spans="1:14" x14ac:dyDescent="0.25">
      <c r="A21" t="s">
        <v>38</v>
      </c>
      <c r="B21" t="s">
        <v>7</v>
      </c>
      <c r="C21" t="s">
        <v>30</v>
      </c>
      <c r="D21" t="s">
        <v>215</v>
      </c>
      <c r="E21" t="s">
        <v>221</v>
      </c>
      <c r="F21" s="1">
        <v>11700000</v>
      </c>
      <c r="G21">
        <v>2000</v>
      </c>
      <c r="H21" t="s">
        <v>228</v>
      </c>
      <c r="I21">
        <v>3900</v>
      </c>
      <c r="J21" t="s">
        <v>228</v>
      </c>
      <c r="K21" t="s">
        <v>228</v>
      </c>
      <c r="L21">
        <v>2600</v>
      </c>
      <c r="M21">
        <v>3</v>
      </c>
      <c r="N21">
        <v>780</v>
      </c>
    </row>
    <row r="22" spans="1:14" x14ac:dyDescent="0.25">
      <c r="A22" t="s">
        <v>39</v>
      </c>
      <c r="B22" t="s">
        <v>19</v>
      </c>
      <c r="C22" t="s">
        <v>40</v>
      </c>
      <c r="D22" t="s">
        <v>214</v>
      </c>
      <c r="E22" t="s">
        <v>220</v>
      </c>
      <c r="F22" s="1">
        <v>430000</v>
      </c>
      <c r="G22">
        <v>350</v>
      </c>
      <c r="H22" t="s">
        <v>224</v>
      </c>
      <c r="I22">
        <v>1050</v>
      </c>
      <c r="J22" t="s">
        <v>224</v>
      </c>
      <c r="K22" t="s">
        <v>224</v>
      </c>
      <c r="L22">
        <v>700</v>
      </c>
      <c r="M22">
        <v>5</v>
      </c>
      <c r="N22">
        <v>3.5</v>
      </c>
    </row>
    <row r="23" spans="1:14" x14ac:dyDescent="0.25">
      <c r="A23" t="s">
        <v>41</v>
      </c>
      <c r="B23" t="s">
        <v>10</v>
      </c>
      <c r="C23" t="s">
        <v>42</v>
      </c>
      <c r="D23" t="s">
        <v>213</v>
      </c>
      <c r="E23" t="s">
        <v>219</v>
      </c>
      <c r="F23" s="1">
        <v>14000000</v>
      </c>
      <c r="G23">
        <v>80</v>
      </c>
      <c r="H23" t="s">
        <v>227</v>
      </c>
      <c r="I23">
        <v>250</v>
      </c>
      <c r="J23" t="s">
        <v>230</v>
      </c>
      <c r="K23" t="s">
        <v>230</v>
      </c>
      <c r="L23">
        <v>250</v>
      </c>
      <c r="M23">
        <v>3</v>
      </c>
      <c r="N23">
        <v>27</v>
      </c>
    </row>
    <row r="24" spans="1:14" x14ac:dyDescent="0.25">
      <c r="A24" t="s">
        <v>43</v>
      </c>
      <c r="B24" t="s">
        <v>19</v>
      </c>
      <c r="C24" t="s">
        <v>20</v>
      </c>
      <c r="D24" t="s">
        <v>215</v>
      </c>
      <c r="E24" t="s">
        <v>221</v>
      </c>
      <c r="F24" s="1">
        <v>64000</v>
      </c>
      <c r="G24">
        <v>1800</v>
      </c>
      <c r="H24" t="s">
        <v>228</v>
      </c>
      <c r="I24">
        <v>5500</v>
      </c>
      <c r="J24" t="s">
        <v>228</v>
      </c>
      <c r="K24" t="s">
        <v>228</v>
      </c>
      <c r="L24">
        <v>3500</v>
      </c>
      <c r="M24">
        <v>3</v>
      </c>
      <c r="N24">
        <v>6</v>
      </c>
    </row>
    <row r="25" spans="1:14" x14ac:dyDescent="0.25">
      <c r="A25" t="s">
        <v>44</v>
      </c>
      <c r="B25" t="s">
        <v>4</v>
      </c>
      <c r="C25" t="s">
        <v>5</v>
      </c>
      <c r="D25" t="s">
        <v>214</v>
      </c>
      <c r="E25" t="s">
        <v>220</v>
      </c>
      <c r="F25" s="1">
        <v>800000</v>
      </c>
      <c r="G25">
        <v>150</v>
      </c>
      <c r="H25" t="s">
        <v>221</v>
      </c>
      <c r="I25">
        <v>400</v>
      </c>
      <c r="J25" t="s">
        <v>230</v>
      </c>
      <c r="K25" t="s">
        <v>230</v>
      </c>
      <c r="L25">
        <v>280</v>
      </c>
      <c r="M25">
        <v>4</v>
      </c>
      <c r="N25">
        <v>3.5</v>
      </c>
    </row>
    <row r="26" spans="1:14" x14ac:dyDescent="0.25">
      <c r="A26" t="s">
        <v>45</v>
      </c>
      <c r="B26" t="s">
        <v>23</v>
      </c>
      <c r="C26" t="s">
        <v>23</v>
      </c>
      <c r="D26" t="s">
        <v>214</v>
      </c>
      <c r="E26" t="s">
        <v>220</v>
      </c>
      <c r="F26" s="1">
        <v>12500000</v>
      </c>
      <c r="G26">
        <v>350</v>
      </c>
      <c r="H26" t="s">
        <v>224</v>
      </c>
      <c r="I26">
        <v>720</v>
      </c>
      <c r="J26" t="s">
        <v>221</v>
      </c>
      <c r="K26" t="s">
        <v>230</v>
      </c>
      <c r="L26">
        <v>350</v>
      </c>
      <c r="M26">
        <v>4</v>
      </c>
      <c r="N26">
        <v>75</v>
      </c>
    </row>
    <row r="27" spans="1:14" x14ac:dyDescent="0.25">
      <c r="A27" t="s">
        <v>46</v>
      </c>
      <c r="B27" t="s">
        <v>7</v>
      </c>
      <c r="C27" t="s">
        <v>8</v>
      </c>
      <c r="D27" t="s">
        <v>214</v>
      </c>
      <c r="E27" t="s">
        <v>220</v>
      </c>
      <c r="F27" s="1">
        <v>3200000</v>
      </c>
      <c r="G27">
        <v>400</v>
      </c>
      <c r="H27" t="s">
        <v>224</v>
      </c>
      <c r="I27">
        <v>900</v>
      </c>
      <c r="J27" t="s">
        <v>221</v>
      </c>
      <c r="K27" t="s">
        <v>221</v>
      </c>
      <c r="L27">
        <v>600</v>
      </c>
      <c r="M27">
        <v>4</v>
      </c>
      <c r="N27">
        <v>50</v>
      </c>
    </row>
    <row r="28" spans="1:14" x14ac:dyDescent="0.25">
      <c r="A28" t="s">
        <v>47</v>
      </c>
      <c r="B28" t="s">
        <v>10</v>
      </c>
      <c r="C28" t="s">
        <v>48</v>
      </c>
      <c r="D28" t="s">
        <v>214</v>
      </c>
      <c r="E28" t="s">
        <v>220</v>
      </c>
      <c r="F28" s="1">
        <v>2700000</v>
      </c>
      <c r="G28">
        <v>300</v>
      </c>
      <c r="H28" t="s">
        <v>224</v>
      </c>
      <c r="I28">
        <v>950</v>
      </c>
      <c r="J28" t="s">
        <v>221</v>
      </c>
      <c r="K28" t="s">
        <v>221</v>
      </c>
      <c r="L28">
        <v>550</v>
      </c>
      <c r="M28">
        <v>5</v>
      </c>
      <c r="N28">
        <v>20</v>
      </c>
    </row>
    <row r="29" spans="1:14" x14ac:dyDescent="0.25">
      <c r="A29" t="s">
        <v>49</v>
      </c>
      <c r="B29" t="s">
        <v>23</v>
      </c>
      <c r="C29" t="s">
        <v>23</v>
      </c>
      <c r="D29" t="s">
        <v>216</v>
      </c>
      <c r="E29" t="s">
        <v>222</v>
      </c>
      <c r="F29" s="1">
        <v>216000000</v>
      </c>
      <c r="G29">
        <v>280</v>
      </c>
      <c r="H29" t="s">
        <v>224</v>
      </c>
      <c r="I29">
        <v>720</v>
      </c>
      <c r="J29" t="s">
        <v>221</v>
      </c>
      <c r="K29" t="s">
        <v>224</v>
      </c>
      <c r="L29">
        <v>800</v>
      </c>
      <c r="M29">
        <v>4</v>
      </c>
      <c r="N29">
        <v>2400</v>
      </c>
    </row>
    <row r="30" spans="1:14" x14ac:dyDescent="0.25">
      <c r="A30" t="s">
        <v>50</v>
      </c>
      <c r="B30" t="s">
        <v>4</v>
      </c>
      <c r="C30" t="s">
        <v>51</v>
      </c>
      <c r="D30" t="s">
        <v>215</v>
      </c>
      <c r="E30" t="s">
        <v>221</v>
      </c>
      <c r="F30" s="1">
        <v>450000</v>
      </c>
      <c r="G30">
        <v>900</v>
      </c>
      <c r="H30" t="s">
        <v>220</v>
      </c>
      <c r="I30">
        <v>3200</v>
      </c>
      <c r="J30" t="s">
        <v>220</v>
      </c>
      <c r="K30" t="s">
        <v>224</v>
      </c>
      <c r="L30">
        <v>1600</v>
      </c>
      <c r="M30">
        <v>1</v>
      </c>
      <c r="N30">
        <v>16</v>
      </c>
    </row>
    <row r="31" spans="1:14" x14ac:dyDescent="0.25">
      <c r="A31" t="s">
        <v>52</v>
      </c>
      <c r="B31" t="s">
        <v>7</v>
      </c>
      <c r="C31" t="s">
        <v>37</v>
      </c>
      <c r="D31" t="s">
        <v>217</v>
      </c>
      <c r="E31" t="s">
        <v>222</v>
      </c>
      <c r="F31" s="1">
        <v>6400000</v>
      </c>
      <c r="G31">
        <v>600</v>
      </c>
      <c r="H31" t="s">
        <v>220</v>
      </c>
      <c r="I31">
        <v>1350</v>
      </c>
      <c r="J31" t="s">
        <v>221</v>
      </c>
      <c r="K31" t="s">
        <v>221</v>
      </c>
      <c r="L31">
        <v>650</v>
      </c>
      <c r="M31">
        <v>4</v>
      </c>
      <c r="N31">
        <v>135</v>
      </c>
    </row>
    <row r="32" spans="1:14" x14ac:dyDescent="0.25">
      <c r="A32" t="s">
        <v>53</v>
      </c>
      <c r="B32" t="s">
        <v>10</v>
      </c>
      <c r="C32" t="s">
        <v>42</v>
      </c>
      <c r="D32" t="s">
        <v>213</v>
      </c>
      <c r="E32" t="s">
        <v>219</v>
      </c>
      <c r="F32" s="1">
        <v>23000000</v>
      </c>
      <c r="G32">
        <v>70</v>
      </c>
      <c r="H32" t="s">
        <v>227</v>
      </c>
      <c r="I32">
        <v>210</v>
      </c>
      <c r="J32" t="s">
        <v>230</v>
      </c>
      <c r="K32" t="s">
        <v>230</v>
      </c>
      <c r="L32">
        <v>220</v>
      </c>
      <c r="M32">
        <v>3</v>
      </c>
      <c r="N32">
        <v>23</v>
      </c>
    </row>
    <row r="33" spans="1:14" x14ac:dyDescent="0.25">
      <c r="A33" t="s">
        <v>54</v>
      </c>
      <c r="B33" t="s">
        <v>4</v>
      </c>
      <c r="C33" t="s">
        <v>51</v>
      </c>
      <c r="D33" t="s">
        <v>213</v>
      </c>
      <c r="E33" t="s">
        <v>219</v>
      </c>
      <c r="F33" s="1">
        <v>55000000</v>
      </c>
      <c r="G33">
        <v>60</v>
      </c>
      <c r="H33" t="s">
        <v>227</v>
      </c>
      <c r="I33">
        <v>170</v>
      </c>
      <c r="J33" t="s">
        <v>230</v>
      </c>
      <c r="K33" t="s">
        <v>230</v>
      </c>
      <c r="L33">
        <v>200</v>
      </c>
      <c r="M33">
        <v>20</v>
      </c>
      <c r="N33">
        <v>70</v>
      </c>
    </row>
    <row r="34" spans="1:14" x14ac:dyDescent="0.25">
      <c r="A34" t="s">
        <v>55</v>
      </c>
      <c r="B34" t="s">
        <v>10</v>
      </c>
      <c r="C34" t="s">
        <v>56</v>
      </c>
      <c r="D34" t="s">
        <v>213</v>
      </c>
      <c r="E34" t="s">
        <v>219</v>
      </c>
      <c r="F34" s="1">
        <v>13000000</v>
      </c>
      <c r="G34">
        <v>30</v>
      </c>
      <c r="H34" t="s">
        <v>227</v>
      </c>
      <c r="I34">
        <v>90</v>
      </c>
      <c r="J34" t="s">
        <v>230</v>
      </c>
      <c r="K34" t="s">
        <v>230</v>
      </c>
      <c r="L34">
        <v>180</v>
      </c>
      <c r="M34">
        <v>8</v>
      </c>
      <c r="N34">
        <v>12</v>
      </c>
    </row>
    <row r="35" spans="1:14" x14ac:dyDescent="0.25">
      <c r="A35" t="s">
        <v>57</v>
      </c>
      <c r="B35" t="s">
        <v>4</v>
      </c>
      <c r="C35" t="s">
        <v>51</v>
      </c>
      <c r="D35" t="s">
        <v>214</v>
      </c>
      <c r="E35" t="s">
        <v>220</v>
      </c>
      <c r="F35" s="1">
        <v>17000000</v>
      </c>
      <c r="G35">
        <v>200</v>
      </c>
      <c r="H35" t="s">
        <v>221</v>
      </c>
      <c r="I35">
        <v>360</v>
      </c>
      <c r="J35" t="s">
        <v>230</v>
      </c>
      <c r="K35" t="s">
        <v>221</v>
      </c>
      <c r="L35">
        <v>380</v>
      </c>
      <c r="M35">
        <v>4</v>
      </c>
      <c r="N35">
        <v>60</v>
      </c>
    </row>
    <row r="36" spans="1:14" x14ac:dyDescent="0.25">
      <c r="A36" t="s">
        <v>58</v>
      </c>
      <c r="B36" t="s">
        <v>10</v>
      </c>
      <c r="C36" t="s">
        <v>17</v>
      </c>
      <c r="D36" t="s">
        <v>213</v>
      </c>
      <c r="E36" t="s">
        <v>219</v>
      </c>
      <c r="F36" s="1">
        <v>29000000</v>
      </c>
      <c r="G36">
        <v>75</v>
      </c>
      <c r="H36" t="s">
        <v>227</v>
      </c>
      <c r="I36">
        <v>240</v>
      </c>
      <c r="J36" t="s">
        <v>230</v>
      </c>
      <c r="K36" t="s">
        <v>221</v>
      </c>
      <c r="L36">
        <v>350</v>
      </c>
      <c r="M36">
        <v>5</v>
      </c>
      <c r="N36">
        <v>70</v>
      </c>
    </row>
    <row r="37" spans="1:14" x14ac:dyDescent="0.25">
      <c r="A37" t="s">
        <v>59</v>
      </c>
      <c r="B37" t="s">
        <v>19</v>
      </c>
      <c r="C37" t="s">
        <v>60</v>
      </c>
      <c r="D37" t="s">
        <v>215</v>
      </c>
      <c r="E37" t="s">
        <v>221</v>
      </c>
      <c r="F37" s="1">
        <v>41000000</v>
      </c>
      <c r="G37">
        <v>2200</v>
      </c>
      <c r="H37" t="s">
        <v>228</v>
      </c>
      <c r="I37">
        <v>4500</v>
      </c>
      <c r="J37" t="s">
        <v>228</v>
      </c>
      <c r="K37" t="s">
        <v>228</v>
      </c>
      <c r="L37">
        <v>3000</v>
      </c>
      <c r="M37">
        <v>3</v>
      </c>
      <c r="N37">
        <v>2300</v>
      </c>
    </row>
    <row r="38" spans="1:14" x14ac:dyDescent="0.25">
      <c r="A38" t="s">
        <v>61</v>
      </c>
      <c r="B38" t="s">
        <v>10</v>
      </c>
      <c r="C38" t="s">
        <v>42</v>
      </c>
      <c r="D38" t="s">
        <v>214</v>
      </c>
      <c r="E38" t="s">
        <v>220</v>
      </c>
      <c r="F38" s="1">
        <v>600000</v>
      </c>
      <c r="G38">
        <v>250</v>
      </c>
      <c r="H38" t="s">
        <v>221</v>
      </c>
      <c r="I38">
        <v>720</v>
      </c>
      <c r="J38" t="s">
        <v>221</v>
      </c>
      <c r="K38" t="s">
        <v>221</v>
      </c>
      <c r="L38">
        <v>550</v>
      </c>
      <c r="M38">
        <v>3</v>
      </c>
      <c r="N38">
        <v>7</v>
      </c>
    </row>
    <row r="39" spans="1:14" x14ac:dyDescent="0.25">
      <c r="A39" t="s">
        <v>62</v>
      </c>
      <c r="B39" t="s">
        <v>19</v>
      </c>
      <c r="C39" t="s">
        <v>20</v>
      </c>
      <c r="D39" t="s">
        <v>215</v>
      </c>
      <c r="E39" t="s">
        <v>221</v>
      </c>
      <c r="F39" s="1">
        <v>85000</v>
      </c>
      <c r="G39">
        <v>1600</v>
      </c>
      <c r="H39" t="s">
        <v>228</v>
      </c>
      <c r="I39">
        <v>4500</v>
      </c>
      <c r="J39" t="s">
        <v>228</v>
      </c>
      <c r="K39" t="s">
        <v>228</v>
      </c>
      <c r="L39">
        <v>3200</v>
      </c>
      <c r="M39">
        <v>3</v>
      </c>
      <c r="N39">
        <v>6</v>
      </c>
    </row>
    <row r="40" spans="1:14" x14ac:dyDescent="0.25">
      <c r="A40" t="s">
        <v>63</v>
      </c>
      <c r="B40" t="s">
        <v>10</v>
      </c>
      <c r="C40" t="s">
        <v>17</v>
      </c>
      <c r="D40" t="s">
        <v>213</v>
      </c>
      <c r="E40" t="s">
        <v>219</v>
      </c>
      <c r="F40" s="1">
        <v>5000000</v>
      </c>
      <c r="G40">
        <v>40</v>
      </c>
      <c r="H40" t="s">
        <v>227</v>
      </c>
      <c r="I40">
        <v>110</v>
      </c>
      <c r="J40" t="s">
        <v>230</v>
      </c>
      <c r="K40" t="s">
        <v>230</v>
      </c>
      <c r="L40">
        <v>200</v>
      </c>
      <c r="M40">
        <v>4</v>
      </c>
      <c r="N40">
        <v>4.5</v>
      </c>
    </row>
    <row r="41" spans="1:14" x14ac:dyDescent="0.25">
      <c r="A41" t="s">
        <v>64</v>
      </c>
      <c r="B41" t="s">
        <v>10</v>
      </c>
      <c r="C41" t="s">
        <v>17</v>
      </c>
      <c r="D41" t="s">
        <v>213</v>
      </c>
      <c r="E41" t="s">
        <v>219</v>
      </c>
      <c r="F41" s="1">
        <v>18000000</v>
      </c>
      <c r="G41">
        <v>50</v>
      </c>
      <c r="H41" t="s">
        <v>227</v>
      </c>
      <c r="I41">
        <v>130</v>
      </c>
      <c r="J41" t="s">
        <v>230</v>
      </c>
      <c r="K41" t="s">
        <v>230</v>
      </c>
      <c r="L41">
        <v>220</v>
      </c>
      <c r="M41">
        <v>4</v>
      </c>
      <c r="N41">
        <v>18</v>
      </c>
    </row>
    <row r="42" spans="1:14" x14ac:dyDescent="0.25">
      <c r="A42" t="s">
        <v>65</v>
      </c>
      <c r="B42" t="s">
        <v>23</v>
      </c>
      <c r="C42" t="s">
        <v>23</v>
      </c>
      <c r="D42" t="s">
        <v>215</v>
      </c>
      <c r="E42" t="s">
        <v>221</v>
      </c>
      <c r="F42" s="1">
        <v>20000000</v>
      </c>
      <c r="G42">
        <v>550</v>
      </c>
      <c r="H42" t="s">
        <v>224</v>
      </c>
      <c r="I42">
        <v>1450</v>
      </c>
      <c r="J42" t="s">
        <v>224</v>
      </c>
      <c r="K42" t="s">
        <v>224</v>
      </c>
      <c r="L42">
        <v>950</v>
      </c>
      <c r="M42">
        <v>4</v>
      </c>
      <c r="N42">
        <v>360</v>
      </c>
    </row>
    <row r="43" spans="1:14" x14ac:dyDescent="0.25">
      <c r="A43" t="s">
        <v>66</v>
      </c>
      <c r="B43" t="s">
        <v>4</v>
      </c>
      <c r="C43" t="s">
        <v>67</v>
      </c>
      <c r="D43" t="s">
        <v>217</v>
      </c>
      <c r="E43" t="s">
        <v>222</v>
      </c>
      <c r="F43" s="1">
        <v>1410000000</v>
      </c>
      <c r="G43">
        <v>350</v>
      </c>
      <c r="H43" t="s">
        <v>224</v>
      </c>
      <c r="I43">
        <v>960</v>
      </c>
      <c r="J43" t="s">
        <v>221</v>
      </c>
      <c r="K43" t="s">
        <v>224</v>
      </c>
      <c r="L43">
        <v>900</v>
      </c>
      <c r="M43">
        <v>1</v>
      </c>
      <c r="N43">
        <v>18500</v>
      </c>
    </row>
    <row r="44" spans="1:14" x14ac:dyDescent="0.25">
      <c r="A44" t="s">
        <v>68</v>
      </c>
      <c r="B44" t="s">
        <v>23</v>
      </c>
      <c r="C44" t="s">
        <v>23</v>
      </c>
      <c r="D44" t="s">
        <v>216</v>
      </c>
      <c r="E44" t="s">
        <v>222</v>
      </c>
      <c r="F44" s="1">
        <v>52000000</v>
      </c>
      <c r="G44">
        <v>350</v>
      </c>
      <c r="H44" t="s">
        <v>224</v>
      </c>
      <c r="I44">
        <v>880</v>
      </c>
      <c r="J44" t="s">
        <v>221</v>
      </c>
      <c r="K44" t="s">
        <v>224</v>
      </c>
      <c r="L44">
        <v>700</v>
      </c>
      <c r="M44">
        <v>6</v>
      </c>
      <c r="N44">
        <v>450</v>
      </c>
    </row>
    <row r="45" spans="1:14" x14ac:dyDescent="0.25">
      <c r="A45" t="s">
        <v>69</v>
      </c>
      <c r="B45" t="s">
        <v>10</v>
      </c>
      <c r="C45" t="s">
        <v>56</v>
      </c>
      <c r="D45" t="s">
        <v>213</v>
      </c>
      <c r="E45" t="s">
        <v>219</v>
      </c>
      <c r="F45" s="1">
        <v>900000</v>
      </c>
      <c r="G45">
        <v>60</v>
      </c>
      <c r="H45" t="s">
        <v>227</v>
      </c>
      <c r="I45">
        <v>160</v>
      </c>
      <c r="J45" t="s">
        <v>230</v>
      </c>
      <c r="K45" t="s">
        <v>230</v>
      </c>
      <c r="L45">
        <v>220</v>
      </c>
      <c r="M45">
        <v>3</v>
      </c>
      <c r="N45">
        <v>3</v>
      </c>
    </row>
    <row r="46" spans="1:14" x14ac:dyDescent="0.25">
      <c r="A46" t="s">
        <v>70</v>
      </c>
      <c r="B46" t="s">
        <v>10</v>
      </c>
      <c r="C46" t="s">
        <v>17</v>
      </c>
      <c r="D46" t="s">
        <v>213</v>
      </c>
      <c r="E46" t="s">
        <v>219</v>
      </c>
      <c r="F46" s="1">
        <v>102000000</v>
      </c>
      <c r="G46">
        <v>60</v>
      </c>
      <c r="H46" t="s">
        <v>227</v>
      </c>
      <c r="I46">
        <v>140</v>
      </c>
      <c r="J46" t="s">
        <v>230</v>
      </c>
      <c r="K46" t="s">
        <v>230</v>
      </c>
      <c r="L46">
        <v>200</v>
      </c>
      <c r="M46">
        <v>8</v>
      </c>
      <c r="N46">
        <v>85</v>
      </c>
    </row>
    <row r="47" spans="1:14" x14ac:dyDescent="0.25">
      <c r="A47" t="s">
        <v>71</v>
      </c>
      <c r="B47" t="s">
        <v>10</v>
      </c>
      <c r="C47" t="s">
        <v>17</v>
      </c>
      <c r="D47" t="s">
        <v>213</v>
      </c>
      <c r="E47" t="s">
        <v>219</v>
      </c>
      <c r="F47" s="1">
        <v>6000000</v>
      </c>
      <c r="G47">
        <v>120</v>
      </c>
      <c r="H47" t="s">
        <v>221</v>
      </c>
      <c r="I47">
        <v>400</v>
      </c>
      <c r="J47" t="s">
        <v>230</v>
      </c>
      <c r="K47" t="s">
        <v>221</v>
      </c>
      <c r="L47">
        <v>450</v>
      </c>
      <c r="M47">
        <v>4</v>
      </c>
      <c r="N47">
        <v>22</v>
      </c>
    </row>
    <row r="48" spans="1:14" x14ac:dyDescent="0.25">
      <c r="A48" t="s">
        <v>72</v>
      </c>
      <c r="B48" t="s">
        <v>13</v>
      </c>
      <c r="C48" t="s">
        <v>14</v>
      </c>
      <c r="D48" t="s">
        <v>214</v>
      </c>
      <c r="E48" t="s">
        <v>220</v>
      </c>
      <c r="F48" s="1">
        <v>17000</v>
      </c>
      <c r="G48">
        <v>300</v>
      </c>
      <c r="H48" t="s">
        <v>221</v>
      </c>
      <c r="I48">
        <v>900</v>
      </c>
      <c r="J48" t="s">
        <v>230</v>
      </c>
      <c r="K48" t="s">
        <v>224</v>
      </c>
      <c r="L48">
        <v>800</v>
      </c>
      <c r="M48">
        <v>3</v>
      </c>
      <c r="N48">
        <v>0.6</v>
      </c>
    </row>
    <row r="49" spans="1:14" x14ac:dyDescent="0.25">
      <c r="A49" t="s">
        <v>73</v>
      </c>
      <c r="B49" t="s">
        <v>19</v>
      </c>
      <c r="C49" t="s">
        <v>40</v>
      </c>
      <c r="D49" t="s">
        <v>216</v>
      </c>
      <c r="E49" t="s">
        <v>222</v>
      </c>
      <c r="F49" s="1">
        <v>5300000</v>
      </c>
      <c r="G49">
        <v>700</v>
      </c>
      <c r="H49" t="s">
        <v>220</v>
      </c>
      <c r="I49">
        <v>1600</v>
      </c>
      <c r="J49" t="s">
        <v>224</v>
      </c>
      <c r="K49" t="s">
        <v>220</v>
      </c>
      <c r="L49">
        <v>1200</v>
      </c>
      <c r="M49">
        <v>4</v>
      </c>
      <c r="N49">
        <v>100</v>
      </c>
    </row>
    <row r="50" spans="1:14" x14ac:dyDescent="0.25">
      <c r="A50" t="s">
        <v>74</v>
      </c>
      <c r="B50" t="s">
        <v>10</v>
      </c>
      <c r="C50" t="s">
        <v>42</v>
      </c>
      <c r="D50" t="s">
        <v>214</v>
      </c>
      <c r="E50" t="s">
        <v>220</v>
      </c>
      <c r="F50" s="1">
        <v>30000000</v>
      </c>
      <c r="G50">
        <v>90</v>
      </c>
      <c r="H50" t="s">
        <v>227</v>
      </c>
      <c r="I50">
        <v>280</v>
      </c>
      <c r="J50" t="s">
        <v>230</v>
      </c>
      <c r="K50" t="s">
        <v>221</v>
      </c>
      <c r="L50">
        <v>420</v>
      </c>
      <c r="M50">
        <v>3</v>
      </c>
      <c r="N50">
        <v>95</v>
      </c>
    </row>
    <row r="51" spans="1:14" x14ac:dyDescent="0.25">
      <c r="A51" t="s">
        <v>75</v>
      </c>
      <c r="B51" t="s">
        <v>7</v>
      </c>
      <c r="C51" t="s">
        <v>8</v>
      </c>
      <c r="D51" t="s">
        <v>215</v>
      </c>
      <c r="E51" t="s">
        <v>221</v>
      </c>
      <c r="F51" s="1">
        <v>3800000</v>
      </c>
      <c r="G51">
        <v>900</v>
      </c>
      <c r="H51" t="s">
        <v>220</v>
      </c>
      <c r="I51">
        <v>1800</v>
      </c>
      <c r="J51" t="s">
        <v>224</v>
      </c>
      <c r="K51" t="s">
        <v>220</v>
      </c>
      <c r="L51">
        <v>1400</v>
      </c>
      <c r="M51">
        <v>4</v>
      </c>
      <c r="N51">
        <v>95</v>
      </c>
    </row>
    <row r="52" spans="1:14" x14ac:dyDescent="0.25">
      <c r="A52" t="s">
        <v>76</v>
      </c>
      <c r="B52" t="s">
        <v>19</v>
      </c>
      <c r="C52" t="s">
        <v>20</v>
      </c>
      <c r="D52" t="s">
        <v>214</v>
      </c>
      <c r="E52" t="s">
        <v>220</v>
      </c>
      <c r="F52" s="1">
        <v>11000000</v>
      </c>
      <c r="G52">
        <v>50</v>
      </c>
      <c r="H52" t="s">
        <v>227</v>
      </c>
      <c r="I52">
        <v>90</v>
      </c>
      <c r="J52" t="s">
        <v>230</v>
      </c>
      <c r="K52" t="s">
        <v>221</v>
      </c>
      <c r="L52">
        <v>300</v>
      </c>
      <c r="M52">
        <v>4</v>
      </c>
      <c r="N52">
        <v>110</v>
      </c>
    </row>
    <row r="53" spans="1:14" x14ac:dyDescent="0.25">
      <c r="A53" t="s">
        <v>77</v>
      </c>
      <c r="B53" t="s">
        <v>7</v>
      </c>
      <c r="C53" t="s">
        <v>8</v>
      </c>
      <c r="D53" t="s">
        <v>215</v>
      </c>
      <c r="E53" t="s">
        <v>221</v>
      </c>
      <c r="F53" s="1">
        <v>1300000</v>
      </c>
      <c r="G53">
        <v>1000</v>
      </c>
      <c r="H53" t="s">
        <v>220</v>
      </c>
      <c r="I53">
        <v>2600</v>
      </c>
      <c r="J53" t="s">
        <v>220</v>
      </c>
      <c r="K53" t="s">
        <v>220</v>
      </c>
      <c r="L53">
        <v>1800</v>
      </c>
      <c r="M53">
        <v>3</v>
      </c>
      <c r="N53">
        <v>50</v>
      </c>
    </row>
    <row r="54" spans="1:14" x14ac:dyDescent="0.25">
      <c r="A54" t="s">
        <v>78</v>
      </c>
      <c r="B54" t="s">
        <v>7</v>
      </c>
      <c r="C54" t="s">
        <v>37</v>
      </c>
      <c r="D54" t="s">
        <v>215</v>
      </c>
      <c r="E54" t="s">
        <v>221</v>
      </c>
      <c r="F54" s="1">
        <v>10700000</v>
      </c>
      <c r="G54">
        <v>900</v>
      </c>
      <c r="H54" t="s">
        <v>220</v>
      </c>
      <c r="I54">
        <v>2100</v>
      </c>
      <c r="J54" t="s">
        <v>224</v>
      </c>
      <c r="K54" t="s">
        <v>224</v>
      </c>
      <c r="L54">
        <v>1600</v>
      </c>
      <c r="M54">
        <v>3</v>
      </c>
      <c r="N54">
        <v>370</v>
      </c>
    </row>
    <row r="55" spans="1:14" x14ac:dyDescent="0.25">
      <c r="A55" t="s">
        <v>79</v>
      </c>
      <c r="B55" t="s">
        <v>7</v>
      </c>
      <c r="C55" t="s">
        <v>80</v>
      </c>
      <c r="D55" t="s">
        <v>215</v>
      </c>
      <c r="E55" t="s">
        <v>221</v>
      </c>
      <c r="F55" s="1">
        <v>6000000</v>
      </c>
      <c r="G55">
        <v>0</v>
      </c>
      <c r="H55" t="s">
        <v>228</v>
      </c>
      <c r="I55">
        <v>4800</v>
      </c>
      <c r="J55" t="s">
        <v>228</v>
      </c>
      <c r="K55" t="s">
        <v>228</v>
      </c>
      <c r="L55">
        <v>3200</v>
      </c>
      <c r="M55">
        <v>3</v>
      </c>
      <c r="N55">
        <v>470</v>
      </c>
    </row>
    <row r="56" spans="1:14" x14ac:dyDescent="0.25">
      <c r="A56" t="s">
        <v>81</v>
      </c>
      <c r="B56" t="s">
        <v>10</v>
      </c>
      <c r="C56" t="s">
        <v>56</v>
      </c>
      <c r="D56" t="s">
        <v>213</v>
      </c>
      <c r="E56" t="s">
        <v>219</v>
      </c>
      <c r="F56" s="1">
        <v>1100000</v>
      </c>
      <c r="G56">
        <v>200</v>
      </c>
      <c r="H56" t="s">
        <v>221</v>
      </c>
      <c r="I56">
        <v>480</v>
      </c>
      <c r="J56" t="s">
        <v>230</v>
      </c>
      <c r="K56" t="s">
        <v>224</v>
      </c>
      <c r="L56">
        <v>700</v>
      </c>
      <c r="M56">
        <v>4</v>
      </c>
      <c r="N56">
        <v>5</v>
      </c>
    </row>
    <row r="57" spans="1:14" x14ac:dyDescent="0.25">
      <c r="A57" t="s">
        <v>82</v>
      </c>
      <c r="B57" t="s">
        <v>19</v>
      </c>
      <c r="C57" t="s">
        <v>20</v>
      </c>
      <c r="D57" t="s">
        <v>214</v>
      </c>
      <c r="E57" t="s">
        <v>220</v>
      </c>
      <c r="F57" s="1">
        <v>70000</v>
      </c>
      <c r="G57">
        <v>400</v>
      </c>
      <c r="H57" t="s">
        <v>224</v>
      </c>
      <c r="I57">
        <v>1000</v>
      </c>
      <c r="J57" t="s">
        <v>221</v>
      </c>
      <c r="K57" t="s">
        <v>224</v>
      </c>
      <c r="L57">
        <v>900</v>
      </c>
      <c r="M57">
        <v>3</v>
      </c>
      <c r="N57">
        <v>1.3</v>
      </c>
    </row>
    <row r="58" spans="1:14" x14ac:dyDescent="0.25">
      <c r="A58" t="s">
        <v>83</v>
      </c>
      <c r="B58" t="s">
        <v>19</v>
      </c>
      <c r="C58" t="s">
        <v>20</v>
      </c>
      <c r="D58" t="s">
        <v>216</v>
      </c>
      <c r="E58" t="s">
        <v>222</v>
      </c>
      <c r="F58" s="1">
        <v>11000000</v>
      </c>
      <c r="G58">
        <v>400</v>
      </c>
      <c r="H58" t="s">
        <v>224</v>
      </c>
      <c r="I58">
        <v>1050</v>
      </c>
      <c r="J58" t="s">
        <v>221</v>
      </c>
      <c r="K58" t="s">
        <v>224</v>
      </c>
      <c r="L58">
        <v>850</v>
      </c>
      <c r="M58">
        <v>5</v>
      </c>
      <c r="N58">
        <v>135</v>
      </c>
    </row>
    <row r="59" spans="1:14" x14ac:dyDescent="0.25">
      <c r="A59" t="s">
        <v>84</v>
      </c>
      <c r="B59" t="s">
        <v>4</v>
      </c>
      <c r="C59" t="s">
        <v>51</v>
      </c>
      <c r="D59" t="s">
        <v>214</v>
      </c>
      <c r="E59" t="s">
        <v>220</v>
      </c>
      <c r="F59" s="1">
        <v>1300000</v>
      </c>
      <c r="G59">
        <v>150</v>
      </c>
      <c r="H59" t="s">
        <v>221</v>
      </c>
      <c r="I59">
        <v>320</v>
      </c>
      <c r="J59" t="s">
        <v>230</v>
      </c>
      <c r="K59" t="s">
        <v>230</v>
      </c>
      <c r="L59">
        <v>300</v>
      </c>
      <c r="M59">
        <v>4</v>
      </c>
      <c r="N59">
        <v>4.5</v>
      </c>
    </row>
    <row r="60" spans="1:14" x14ac:dyDescent="0.25">
      <c r="A60" t="s">
        <v>85</v>
      </c>
      <c r="B60" t="s">
        <v>23</v>
      </c>
      <c r="C60" t="s">
        <v>23</v>
      </c>
      <c r="D60" t="s">
        <v>216</v>
      </c>
      <c r="E60" t="s">
        <v>222</v>
      </c>
      <c r="F60" s="1">
        <v>18000000</v>
      </c>
      <c r="G60">
        <v>460</v>
      </c>
      <c r="H60" t="s">
        <v>224</v>
      </c>
      <c r="I60">
        <v>850</v>
      </c>
      <c r="J60" t="s">
        <v>221</v>
      </c>
      <c r="K60" t="s">
        <v>224</v>
      </c>
      <c r="L60">
        <v>650</v>
      </c>
      <c r="M60">
        <v>3</v>
      </c>
      <c r="N60">
        <v>125</v>
      </c>
    </row>
    <row r="61" spans="1:14" x14ac:dyDescent="0.25">
      <c r="A61" t="s">
        <v>86</v>
      </c>
      <c r="B61" t="s">
        <v>10</v>
      </c>
      <c r="C61" t="s">
        <v>11</v>
      </c>
      <c r="D61" t="s">
        <v>214</v>
      </c>
      <c r="E61" t="s">
        <v>220</v>
      </c>
      <c r="F61" s="1">
        <v>112000000</v>
      </c>
      <c r="G61">
        <v>120</v>
      </c>
      <c r="H61" t="s">
        <v>221</v>
      </c>
      <c r="I61">
        <v>380</v>
      </c>
      <c r="J61" t="s">
        <v>230</v>
      </c>
      <c r="K61" t="s">
        <v>221</v>
      </c>
      <c r="L61">
        <v>380</v>
      </c>
      <c r="M61">
        <v>12</v>
      </c>
      <c r="N61">
        <v>560</v>
      </c>
    </row>
    <row r="62" spans="1:14" x14ac:dyDescent="0.25">
      <c r="A62" t="s">
        <v>87</v>
      </c>
      <c r="B62" t="s">
        <v>19</v>
      </c>
      <c r="C62" t="s">
        <v>40</v>
      </c>
      <c r="D62" t="s">
        <v>214</v>
      </c>
      <c r="E62" t="s">
        <v>220</v>
      </c>
      <c r="F62" s="1">
        <v>6300000</v>
      </c>
      <c r="G62">
        <v>365</v>
      </c>
      <c r="H62" t="s">
        <v>224</v>
      </c>
      <c r="I62">
        <v>780</v>
      </c>
      <c r="J62" t="s">
        <v>221</v>
      </c>
      <c r="K62" t="s">
        <v>224</v>
      </c>
      <c r="L62">
        <v>700</v>
      </c>
      <c r="M62">
        <v>3</v>
      </c>
      <c r="N62">
        <v>85</v>
      </c>
    </row>
    <row r="63" spans="1:14" x14ac:dyDescent="0.25">
      <c r="A63" t="s">
        <v>88</v>
      </c>
      <c r="B63" t="s">
        <v>10</v>
      </c>
      <c r="C63" t="s">
        <v>17</v>
      </c>
      <c r="D63" t="s">
        <v>214</v>
      </c>
      <c r="E63" t="s">
        <v>220</v>
      </c>
      <c r="F63" s="1">
        <v>1800000</v>
      </c>
      <c r="G63">
        <v>200</v>
      </c>
      <c r="H63" t="s">
        <v>221</v>
      </c>
      <c r="I63">
        <v>640</v>
      </c>
      <c r="J63" t="s">
        <v>221</v>
      </c>
      <c r="K63" t="s">
        <v>221</v>
      </c>
      <c r="L63">
        <v>600</v>
      </c>
      <c r="M63">
        <v>4</v>
      </c>
      <c r="N63">
        <v>12</v>
      </c>
    </row>
    <row r="64" spans="1:14" x14ac:dyDescent="0.25">
      <c r="A64" t="s">
        <v>89</v>
      </c>
      <c r="B64" t="s">
        <v>10</v>
      </c>
      <c r="C64" t="s">
        <v>56</v>
      </c>
      <c r="D64" t="s">
        <v>213</v>
      </c>
      <c r="E64" t="s">
        <v>219</v>
      </c>
      <c r="F64" s="1">
        <v>3700000</v>
      </c>
      <c r="G64">
        <v>50</v>
      </c>
      <c r="H64" t="s">
        <v>227</v>
      </c>
      <c r="I64">
        <v>110</v>
      </c>
      <c r="J64" t="s">
        <v>230</v>
      </c>
      <c r="K64" t="s">
        <v>230</v>
      </c>
      <c r="L64">
        <v>180</v>
      </c>
      <c r="M64">
        <v>6</v>
      </c>
      <c r="N64">
        <v>4</v>
      </c>
    </row>
    <row r="65" spans="1:14" x14ac:dyDescent="0.25">
      <c r="A65" t="s">
        <v>90</v>
      </c>
      <c r="B65" t="s">
        <v>7</v>
      </c>
      <c r="C65" t="s">
        <v>80</v>
      </c>
      <c r="D65" t="s">
        <v>215</v>
      </c>
      <c r="E65" t="s">
        <v>221</v>
      </c>
      <c r="F65" s="1">
        <v>1300000</v>
      </c>
      <c r="G65">
        <v>1000</v>
      </c>
      <c r="H65" t="s">
        <v>220</v>
      </c>
      <c r="I65">
        <v>2300</v>
      </c>
      <c r="J65" t="s">
        <v>224</v>
      </c>
      <c r="K65" t="s">
        <v>220</v>
      </c>
      <c r="L65">
        <v>1700</v>
      </c>
      <c r="M65">
        <v>4</v>
      </c>
      <c r="N65">
        <v>55</v>
      </c>
    </row>
    <row r="66" spans="1:14" x14ac:dyDescent="0.25">
      <c r="A66" t="s">
        <v>91</v>
      </c>
      <c r="B66" t="s">
        <v>10</v>
      </c>
      <c r="C66" t="s">
        <v>56</v>
      </c>
      <c r="D66" t="s">
        <v>213</v>
      </c>
      <c r="E66" t="s">
        <v>219</v>
      </c>
      <c r="F66" s="1">
        <v>126000000</v>
      </c>
      <c r="G66">
        <v>60</v>
      </c>
      <c r="H66" t="s">
        <v>227</v>
      </c>
      <c r="I66">
        <v>180</v>
      </c>
      <c r="J66" t="s">
        <v>230</v>
      </c>
      <c r="K66" t="s">
        <v>230</v>
      </c>
      <c r="L66">
        <v>250</v>
      </c>
      <c r="M66">
        <v>15</v>
      </c>
      <c r="N66">
        <v>240</v>
      </c>
    </row>
    <row r="67" spans="1:14" x14ac:dyDescent="0.25">
      <c r="A67" t="s">
        <v>92</v>
      </c>
      <c r="B67" t="s">
        <v>13</v>
      </c>
      <c r="C67" t="s">
        <v>93</v>
      </c>
      <c r="D67" t="s">
        <v>214</v>
      </c>
      <c r="E67" t="s">
        <v>220</v>
      </c>
      <c r="F67" s="1">
        <v>930000</v>
      </c>
      <c r="G67">
        <v>120</v>
      </c>
      <c r="H67" t="s">
        <v>221</v>
      </c>
      <c r="I67">
        <v>480</v>
      </c>
      <c r="J67" t="s">
        <v>230</v>
      </c>
      <c r="K67" t="s">
        <v>221</v>
      </c>
      <c r="L67">
        <v>650</v>
      </c>
      <c r="M67">
        <v>4</v>
      </c>
      <c r="N67">
        <v>6.5</v>
      </c>
    </row>
    <row r="68" spans="1:14" x14ac:dyDescent="0.25">
      <c r="A68" t="s">
        <v>94</v>
      </c>
      <c r="B68" t="s">
        <v>7</v>
      </c>
      <c r="C68" t="s">
        <v>80</v>
      </c>
      <c r="D68" t="s">
        <v>215</v>
      </c>
      <c r="E68" t="s">
        <v>221</v>
      </c>
      <c r="F68" s="1">
        <v>5600000</v>
      </c>
      <c r="G68">
        <v>0</v>
      </c>
      <c r="H68" t="s">
        <v>228</v>
      </c>
      <c r="I68">
        <v>4600</v>
      </c>
      <c r="J68" t="s">
        <v>228</v>
      </c>
      <c r="K68" t="s">
        <v>228</v>
      </c>
      <c r="L68">
        <v>3000</v>
      </c>
      <c r="M68">
        <v>3</v>
      </c>
      <c r="N68">
        <v>330</v>
      </c>
    </row>
    <row r="69" spans="1:14" x14ac:dyDescent="0.25">
      <c r="A69" t="s">
        <v>95</v>
      </c>
      <c r="B69" t="s">
        <v>7</v>
      </c>
      <c r="C69" t="s">
        <v>30</v>
      </c>
      <c r="D69" t="s">
        <v>215</v>
      </c>
      <c r="E69" t="s">
        <v>221</v>
      </c>
      <c r="F69" s="1">
        <v>68000000</v>
      </c>
      <c r="G69">
        <v>1800</v>
      </c>
      <c r="H69" t="s">
        <v>228</v>
      </c>
      <c r="I69">
        <v>3600</v>
      </c>
      <c r="J69" t="s">
        <v>228</v>
      </c>
      <c r="K69" t="s">
        <v>228</v>
      </c>
      <c r="L69">
        <v>2800</v>
      </c>
      <c r="M69">
        <v>3</v>
      </c>
      <c r="N69">
        <v>3100</v>
      </c>
    </row>
    <row r="70" spans="1:14" x14ac:dyDescent="0.25">
      <c r="A70" t="s">
        <v>96</v>
      </c>
      <c r="B70" t="s">
        <v>10</v>
      </c>
      <c r="C70" t="s">
        <v>17</v>
      </c>
      <c r="D70" t="s">
        <v>214</v>
      </c>
      <c r="E70" t="s">
        <v>220</v>
      </c>
      <c r="F70" s="1">
        <v>2400000</v>
      </c>
      <c r="G70">
        <v>250</v>
      </c>
      <c r="H70" t="s">
        <v>221</v>
      </c>
      <c r="I70">
        <v>720</v>
      </c>
      <c r="J70" t="s">
        <v>221</v>
      </c>
      <c r="K70" t="s">
        <v>224</v>
      </c>
      <c r="L70">
        <v>900</v>
      </c>
      <c r="M70">
        <v>4</v>
      </c>
      <c r="N70">
        <v>23</v>
      </c>
    </row>
    <row r="71" spans="1:14" x14ac:dyDescent="0.25">
      <c r="A71" t="s">
        <v>97</v>
      </c>
      <c r="B71" t="s">
        <v>10</v>
      </c>
      <c r="C71" t="s">
        <v>42</v>
      </c>
      <c r="D71" t="s">
        <v>213</v>
      </c>
      <c r="E71" t="s">
        <v>219</v>
      </c>
      <c r="F71" s="1">
        <v>2800000</v>
      </c>
      <c r="G71">
        <v>60</v>
      </c>
      <c r="H71" t="s">
        <v>227</v>
      </c>
      <c r="I71">
        <v>180</v>
      </c>
      <c r="J71" t="s">
        <v>230</v>
      </c>
      <c r="K71" t="s">
        <v>230</v>
      </c>
      <c r="L71">
        <v>220</v>
      </c>
      <c r="M71">
        <v>5</v>
      </c>
      <c r="N71">
        <v>5</v>
      </c>
    </row>
    <row r="72" spans="1:14" x14ac:dyDescent="0.25">
      <c r="A72" t="s">
        <v>98</v>
      </c>
      <c r="B72" t="s">
        <v>4</v>
      </c>
      <c r="C72" t="s">
        <v>25</v>
      </c>
      <c r="D72" t="s">
        <v>214</v>
      </c>
      <c r="E72" t="s">
        <v>220</v>
      </c>
      <c r="F72" s="1">
        <v>3700000</v>
      </c>
      <c r="G72">
        <v>300</v>
      </c>
      <c r="H72" t="s">
        <v>224</v>
      </c>
      <c r="I72">
        <v>720</v>
      </c>
      <c r="J72" t="s">
        <v>221</v>
      </c>
      <c r="K72" t="s">
        <v>221</v>
      </c>
      <c r="L72">
        <v>520</v>
      </c>
      <c r="M72">
        <v>4</v>
      </c>
      <c r="N72">
        <v>42</v>
      </c>
    </row>
    <row r="73" spans="1:14" x14ac:dyDescent="0.25">
      <c r="A73" t="s">
        <v>99</v>
      </c>
      <c r="B73" t="s">
        <v>7</v>
      </c>
      <c r="C73" t="s">
        <v>30</v>
      </c>
      <c r="D73" t="s">
        <v>215</v>
      </c>
      <c r="E73" t="s">
        <v>221</v>
      </c>
      <c r="F73" s="1">
        <v>84000000</v>
      </c>
      <c r="G73">
        <v>2100</v>
      </c>
      <c r="H73" t="s">
        <v>228</v>
      </c>
      <c r="I73">
        <v>4300</v>
      </c>
      <c r="J73" t="s">
        <v>228</v>
      </c>
      <c r="K73" t="s">
        <v>228</v>
      </c>
      <c r="L73">
        <v>2900</v>
      </c>
      <c r="M73">
        <v>3</v>
      </c>
      <c r="N73">
        <v>4600</v>
      </c>
    </row>
    <row r="74" spans="1:14" x14ac:dyDescent="0.25">
      <c r="A74" t="s">
        <v>100</v>
      </c>
      <c r="B74" t="s">
        <v>10</v>
      </c>
      <c r="C74" t="s">
        <v>42</v>
      </c>
      <c r="D74" t="s">
        <v>214</v>
      </c>
      <c r="E74" t="s">
        <v>220</v>
      </c>
      <c r="F74" s="1">
        <v>34000000</v>
      </c>
      <c r="G74">
        <v>80</v>
      </c>
      <c r="H74" t="s">
        <v>227</v>
      </c>
      <c r="I74">
        <v>240</v>
      </c>
      <c r="J74" t="s">
        <v>230</v>
      </c>
      <c r="K74" t="s">
        <v>221</v>
      </c>
      <c r="L74">
        <v>400</v>
      </c>
      <c r="M74">
        <v>20</v>
      </c>
      <c r="N74">
        <v>90</v>
      </c>
    </row>
    <row r="75" spans="1:14" x14ac:dyDescent="0.25">
      <c r="A75" t="s">
        <v>101</v>
      </c>
      <c r="B75" t="s">
        <v>7</v>
      </c>
      <c r="C75" t="s">
        <v>8</v>
      </c>
      <c r="D75" t="s">
        <v>215</v>
      </c>
      <c r="E75" t="s">
        <v>221</v>
      </c>
      <c r="F75" s="1">
        <v>10300000</v>
      </c>
      <c r="G75">
        <v>950</v>
      </c>
      <c r="H75" t="s">
        <v>220</v>
      </c>
      <c r="I75">
        <v>1800</v>
      </c>
      <c r="J75" t="s">
        <v>224</v>
      </c>
      <c r="K75" t="s">
        <v>220</v>
      </c>
      <c r="L75">
        <v>1600</v>
      </c>
      <c r="M75">
        <v>3</v>
      </c>
      <c r="N75">
        <v>290</v>
      </c>
    </row>
    <row r="76" spans="1:14" x14ac:dyDescent="0.25">
      <c r="A76" t="s">
        <v>102</v>
      </c>
      <c r="B76" t="s">
        <v>19</v>
      </c>
      <c r="C76" t="s">
        <v>20</v>
      </c>
      <c r="D76" t="s">
        <v>214</v>
      </c>
      <c r="E76" t="s">
        <v>220</v>
      </c>
      <c r="F76" s="1">
        <v>125000</v>
      </c>
      <c r="G76">
        <v>500</v>
      </c>
      <c r="H76" t="s">
        <v>224</v>
      </c>
      <c r="I76">
        <v>1200</v>
      </c>
      <c r="J76" t="s">
        <v>221</v>
      </c>
      <c r="K76" t="s">
        <v>220</v>
      </c>
      <c r="L76">
        <v>1500</v>
      </c>
      <c r="M76">
        <v>3</v>
      </c>
      <c r="N76">
        <v>2</v>
      </c>
    </row>
    <row r="77" spans="1:14" x14ac:dyDescent="0.25">
      <c r="A77" t="s">
        <v>104</v>
      </c>
      <c r="B77" t="s">
        <v>19</v>
      </c>
      <c r="C77" t="s">
        <v>40</v>
      </c>
      <c r="D77" t="s">
        <v>214</v>
      </c>
      <c r="E77" t="s">
        <v>220</v>
      </c>
      <c r="F77" s="1">
        <v>18000000</v>
      </c>
      <c r="G77">
        <v>450</v>
      </c>
      <c r="H77" t="s">
        <v>224</v>
      </c>
      <c r="I77">
        <v>800</v>
      </c>
      <c r="J77" t="s">
        <v>221</v>
      </c>
      <c r="K77" t="s">
        <v>221</v>
      </c>
      <c r="L77">
        <v>520</v>
      </c>
      <c r="M77">
        <v>4</v>
      </c>
      <c r="N77">
        <v>130</v>
      </c>
    </row>
    <row r="78" spans="1:14" x14ac:dyDescent="0.25">
      <c r="A78" t="s">
        <v>105</v>
      </c>
      <c r="B78" t="s">
        <v>10</v>
      </c>
      <c r="C78" t="s">
        <v>42</v>
      </c>
      <c r="D78" t="s">
        <v>213</v>
      </c>
      <c r="E78" t="s">
        <v>219</v>
      </c>
      <c r="F78" s="1">
        <v>14000000</v>
      </c>
      <c r="G78">
        <v>70</v>
      </c>
      <c r="H78" t="s">
        <v>227</v>
      </c>
      <c r="I78">
        <v>180</v>
      </c>
      <c r="J78" t="s">
        <v>230</v>
      </c>
      <c r="K78" t="s">
        <v>230</v>
      </c>
      <c r="L78">
        <v>220</v>
      </c>
      <c r="M78">
        <v>8</v>
      </c>
      <c r="N78">
        <v>38</v>
      </c>
    </row>
    <row r="79" spans="1:14" x14ac:dyDescent="0.25">
      <c r="A79" t="s">
        <v>106</v>
      </c>
      <c r="B79" t="s">
        <v>10</v>
      </c>
      <c r="C79" t="s">
        <v>42</v>
      </c>
      <c r="D79" t="s">
        <v>213</v>
      </c>
      <c r="E79" t="s">
        <v>219</v>
      </c>
      <c r="F79" s="1">
        <v>2200000</v>
      </c>
      <c r="G79">
        <v>60</v>
      </c>
      <c r="H79" t="s">
        <v>227</v>
      </c>
      <c r="I79">
        <v>150</v>
      </c>
      <c r="J79" t="s">
        <v>230</v>
      </c>
      <c r="K79" t="s">
        <v>230</v>
      </c>
      <c r="L79">
        <v>200</v>
      </c>
      <c r="M79">
        <v>5</v>
      </c>
      <c r="N79">
        <v>2.2000000000000002</v>
      </c>
    </row>
    <row r="80" spans="1:14" x14ac:dyDescent="0.25">
      <c r="A80" t="s">
        <v>107</v>
      </c>
      <c r="B80" t="s">
        <v>23</v>
      </c>
      <c r="C80" t="s">
        <v>23</v>
      </c>
      <c r="D80" t="s">
        <v>216</v>
      </c>
      <c r="E80" t="s">
        <v>222</v>
      </c>
      <c r="F80" s="1">
        <v>800000</v>
      </c>
      <c r="G80">
        <v>500</v>
      </c>
      <c r="H80" t="s">
        <v>224</v>
      </c>
      <c r="I80">
        <v>1300</v>
      </c>
      <c r="J80" t="s">
        <v>221</v>
      </c>
      <c r="K80" t="s">
        <v>224</v>
      </c>
      <c r="L80">
        <v>650</v>
      </c>
      <c r="M80">
        <v>4</v>
      </c>
      <c r="N80">
        <v>25</v>
      </c>
    </row>
    <row r="81" spans="1:14" x14ac:dyDescent="0.25">
      <c r="A81" t="s">
        <v>108</v>
      </c>
      <c r="B81" t="s">
        <v>19</v>
      </c>
      <c r="C81" t="s">
        <v>20</v>
      </c>
      <c r="D81" t="s">
        <v>213</v>
      </c>
      <c r="E81" t="s">
        <v>219</v>
      </c>
      <c r="F81" s="1">
        <v>11500000</v>
      </c>
      <c r="G81">
        <v>120</v>
      </c>
      <c r="H81" t="s">
        <v>227</v>
      </c>
      <c r="I81">
        <v>220</v>
      </c>
      <c r="J81" t="s">
        <v>230</v>
      </c>
      <c r="K81" t="s">
        <v>230</v>
      </c>
      <c r="L81">
        <v>240</v>
      </c>
      <c r="M81">
        <v>18</v>
      </c>
      <c r="N81">
        <v>20</v>
      </c>
    </row>
    <row r="82" spans="1:14" x14ac:dyDescent="0.25">
      <c r="A82" t="s">
        <v>109</v>
      </c>
      <c r="B82" t="s">
        <v>19</v>
      </c>
      <c r="C82" t="s">
        <v>40</v>
      </c>
      <c r="D82" t="s">
        <v>214</v>
      </c>
      <c r="E82" t="s">
        <v>220</v>
      </c>
      <c r="F82" s="1">
        <v>10600000</v>
      </c>
      <c r="G82">
        <v>350</v>
      </c>
      <c r="H82" t="s">
        <v>224</v>
      </c>
      <c r="I82">
        <v>750</v>
      </c>
      <c r="J82" t="s">
        <v>221</v>
      </c>
      <c r="K82" t="s">
        <v>221</v>
      </c>
      <c r="L82">
        <v>500</v>
      </c>
      <c r="M82">
        <v>5</v>
      </c>
      <c r="N82">
        <v>70</v>
      </c>
    </row>
    <row r="83" spans="1:14" x14ac:dyDescent="0.25">
      <c r="A83" t="s">
        <v>110</v>
      </c>
      <c r="B83" t="s">
        <v>4</v>
      </c>
      <c r="C83" t="s">
        <v>67</v>
      </c>
      <c r="D83" t="s">
        <v>215</v>
      </c>
      <c r="E83" t="s">
        <v>221</v>
      </c>
      <c r="F83" s="1">
        <v>7500000</v>
      </c>
      <c r="G83">
        <v>900</v>
      </c>
      <c r="H83" t="s">
        <v>220</v>
      </c>
      <c r="I83">
        <v>3200</v>
      </c>
      <c r="J83" t="s">
        <v>220</v>
      </c>
      <c r="K83" t="s">
        <v>228</v>
      </c>
      <c r="L83">
        <v>3000</v>
      </c>
      <c r="M83">
        <v>2</v>
      </c>
      <c r="N83">
        <v>430</v>
      </c>
    </row>
    <row r="84" spans="1:14" x14ac:dyDescent="0.25">
      <c r="A84" t="s">
        <v>111</v>
      </c>
      <c r="B84" t="s">
        <v>7</v>
      </c>
      <c r="C84" t="s">
        <v>37</v>
      </c>
      <c r="D84" t="s">
        <v>215</v>
      </c>
      <c r="E84" t="s">
        <v>221</v>
      </c>
      <c r="F84" s="1">
        <v>9600000</v>
      </c>
      <c r="G84">
        <v>800</v>
      </c>
      <c r="H84" t="s">
        <v>220</v>
      </c>
      <c r="I84">
        <v>1900</v>
      </c>
      <c r="J84" t="s">
        <v>224</v>
      </c>
      <c r="K84" t="s">
        <v>224</v>
      </c>
      <c r="L84">
        <v>1500</v>
      </c>
      <c r="M84">
        <v>4</v>
      </c>
      <c r="N84">
        <v>300</v>
      </c>
    </row>
    <row r="85" spans="1:14" x14ac:dyDescent="0.25">
      <c r="A85" t="s">
        <v>112</v>
      </c>
      <c r="B85" t="s">
        <v>7</v>
      </c>
      <c r="C85" t="s">
        <v>80</v>
      </c>
      <c r="D85" t="s">
        <v>215</v>
      </c>
      <c r="E85" t="s">
        <v>221</v>
      </c>
      <c r="F85" s="1">
        <v>390000</v>
      </c>
      <c r="G85">
        <v>0</v>
      </c>
      <c r="H85" t="s">
        <v>228</v>
      </c>
      <c r="I85">
        <v>5600</v>
      </c>
      <c r="J85" t="s">
        <v>228</v>
      </c>
      <c r="K85" t="s">
        <v>228</v>
      </c>
      <c r="L85">
        <v>3500</v>
      </c>
      <c r="M85">
        <v>3</v>
      </c>
      <c r="N85">
        <v>36</v>
      </c>
    </row>
    <row r="86" spans="1:14" x14ac:dyDescent="0.25">
      <c r="A86" t="s">
        <v>113</v>
      </c>
      <c r="B86" t="s">
        <v>4</v>
      </c>
      <c r="C86" t="s">
        <v>5</v>
      </c>
      <c r="D86" t="s">
        <v>214</v>
      </c>
      <c r="E86" t="s">
        <v>220</v>
      </c>
      <c r="F86" s="1">
        <v>1440000000</v>
      </c>
      <c r="G86">
        <v>100</v>
      </c>
      <c r="H86" t="s">
        <v>227</v>
      </c>
      <c r="I86">
        <v>360</v>
      </c>
      <c r="J86" t="s">
        <v>230</v>
      </c>
      <c r="K86" t="s">
        <v>230</v>
      </c>
      <c r="L86">
        <v>300</v>
      </c>
      <c r="M86">
        <v>5</v>
      </c>
      <c r="N86">
        <v>4200</v>
      </c>
    </row>
    <row r="87" spans="1:14" x14ac:dyDescent="0.25">
      <c r="A87" t="s">
        <v>114</v>
      </c>
      <c r="B87" t="s">
        <v>4</v>
      </c>
      <c r="C87" t="s">
        <v>51</v>
      </c>
      <c r="D87" t="s">
        <v>216</v>
      </c>
      <c r="E87" t="s">
        <v>222</v>
      </c>
      <c r="F87" s="1">
        <v>278000000</v>
      </c>
      <c r="G87">
        <v>200</v>
      </c>
      <c r="H87" t="s">
        <v>221</v>
      </c>
      <c r="I87">
        <v>640</v>
      </c>
      <c r="J87" t="s">
        <v>221</v>
      </c>
      <c r="K87" t="s">
        <v>221</v>
      </c>
      <c r="L87">
        <v>600</v>
      </c>
      <c r="M87">
        <v>3</v>
      </c>
      <c r="N87">
        <v>1450</v>
      </c>
    </row>
    <row r="88" spans="1:14" x14ac:dyDescent="0.25">
      <c r="A88" t="s">
        <v>115</v>
      </c>
      <c r="B88" t="s">
        <v>4</v>
      </c>
      <c r="C88" t="s">
        <v>25</v>
      </c>
      <c r="D88" t="s">
        <v>216</v>
      </c>
      <c r="E88" t="s">
        <v>222</v>
      </c>
      <c r="F88" s="1">
        <v>89000000</v>
      </c>
      <c r="G88">
        <v>200</v>
      </c>
      <c r="H88" t="s">
        <v>221</v>
      </c>
      <c r="I88">
        <v>560</v>
      </c>
      <c r="J88" t="s">
        <v>221</v>
      </c>
      <c r="K88" t="s">
        <v>221</v>
      </c>
      <c r="L88">
        <v>500</v>
      </c>
      <c r="M88">
        <v>35</v>
      </c>
      <c r="N88">
        <v>430</v>
      </c>
    </row>
    <row r="89" spans="1:14" x14ac:dyDescent="0.25">
      <c r="A89" t="s">
        <v>116</v>
      </c>
      <c r="B89" t="s">
        <v>4</v>
      </c>
      <c r="C89" t="s">
        <v>25</v>
      </c>
      <c r="D89" t="s">
        <v>214</v>
      </c>
      <c r="E89" t="s">
        <v>220</v>
      </c>
      <c r="F89" s="1">
        <v>45000000</v>
      </c>
      <c r="G89">
        <v>300</v>
      </c>
      <c r="H89" t="s">
        <v>224</v>
      </c>
      <c r="I89">
        <v>720</v>
      </c>
      <c r="J89" t="s">
        <v>221</v>
      </c>
      <c r="K89" t="s">
        <v>221</v>
      </c>
      <c r="L89">
        <v>600</v>
      </c>
      <c r="M89">
        <v>4</v>
      </c>
      <c r="N89">
        <v>320</v>
      </c>
    </row>
    <row r="90" spans="1:14" x14ac:dyDescent="0.25">
      <c r="A90" t="s">
        <v>117</v>
      </c>
      <c r="B90" t="s">
        <v>7</v>
      </c>
      <c r="C90" t="s">
        <v>80</v>
      </c>
      <c r="D90" t="s">
        <v>215</v>
      </c>
      <c r="E90" t="s">
        <v>221</v>
      </c>
      <c r="F90" s="1">
        <v>5300000</v>
      </c>
      <c r="G90">
        <v>2000</v>
      </c>
      <c r="H90" t="s">
        <v>228</v>
      </c>
      <c r="I90">
        <v>5200</v>
      </c>
      <c r="J90" t="s">
        <v>228</v>
      </c>
      <c r="K90" t="s">
        <v>228</v>
      </c>
      <c r="L90">
        <v>3000</v>
      </c>
      <c r="M90">
        <v>3</v>
      </c>
      <c r="N90">
        <v>720</v>
      </c>
    </row>
    <row r="91" spans="1:14" x14ac:dyDescent="0.25">
      <c r="A91" t="s">
        <v>118</v>
      </c>
      <c r="B91" t="s">
        <v>4</v>
      </c>
      <c r="C91" t="s">
        <v>25</v>
      </c>
      <c r="D91" t="s">
        <v>215</v>
      </c>
      <c r="E91" t="s">
        <v>221</v>
      </c>
      <c r="F91" s="1">
        <v>9800000</v>
      </c>
      <c r="G91">
        <v>1700</v>
      </c>
      <c r="H91" t="s">
        <v>228</v>
      </c>
      <c r="I91">
        <v>4800</v>
      </c>
      <c r="J91" t="s">
        <v>228</v>
      </c>
      <c r="K91" t="s">
        <v>228</v>
      </c>
      <c r="L91">
        <v>3500</v>
      </c>
      <c r="M91">
        <v>3</v>
      </c>
      <c r="N91">
        <v>610</v>
      </c>
    </row>
    <row r="92" spans="1:14" x14ac:dyDescent="0.25">
      <c r="A92" t="s">
        <v>119</v>
      </c>
      <c r="B92" t="s">
        <v>7</v>
      </c>
      <c r="C92" t="s">
        <v>8</v>
      </c>
      <c r="D92" t="s">
        <v>215</v>
      </c>
      <c r="E92" t="s">
        <v>221</v>
      </c>
      <c r="F92" s="1">
        <v>59000000</v>
      </c>
      <c r="G92">
        <v>0</v>
      </c>
      <c r="H92" t="s">
        <v>228</v>
      </c>
      <c r="I92">
        <v>3200</v>
      </c>
      <c r="J92" t="s">
        <v>220</v>
      </c>
      <c r="K92" t="s">
        <v>220</v>
      </c>
      <c r="L92">
        <v>2500</v>
      </c>
      <c r="M92">
        <v>3</v>
      </c>
      <c r="N92">
        <v>2300</v>
      </c>
    </row>
    <row r="93" spans="1:14" x14ac:dyDescent="0.25">
      <c r="A93" t="s">
        <v>120</v>
      </c>
      <c r="B93" t="s">
        <v>19</v>
      </c>
      <c r="C93" t="s">
        <v>20</v>
      </c>
      <c r="D93" t="s">
        <v>214</v>
      </c>
      <c r="E93" t="s">
        <v>220</v>
      </c>
      <c r="F93" s="1">
        <v>2800000</v>
      </c>
      <c r="G93">
        <v>300</v>
      </c>
      <c r="H93" t="s">
        <v>224</v>
      </c>
      <c r="I93">
        <v>880</v>
      </c>
      <c r="J93" t="s">
        <v>221</v>
      </c>
      <c r="K93" t="s">
        <v>224</v>
      </c>
      <c r="L93">
        <v>900</v>
      </c>
      <c r="M93">
        <v>6</v>
      </c>
      <c r="N93">
        <v>22</v>
      </c>
    </row>
    <row r="94" spans="1:14" x14ac:dyDescent="0.25">
      <c r="A94" t="s">
        <v>121</v>
      </c>
      <c r="B94" t="s">
        <v>4</v>
      </c>
      <c r="C94" t="s">
        <v>67</v>
      </c>
      <c r="D94" t="s">
        <v>215</v>
      </c>
      <c r="E94" t="s">
        <v>221</v>
      </c>
      <c r="F94" s="1">
        <v>123000000</v>
      </c>
      <c r="G94">
        <v>1500</v>
      </c>
      <c r="H94" t="s">
        <v>228</v>
      </c>
      <c r="I94">
        <v>4200</v>
      </c>
      <c r="J94" t="s">
        <v>228</v>
      </c>
      <c r="K94" t="s">
        <v>228</v>
      </c>
      <c r="L94">
        <v>3200</v>
      </c>
      <c r="M94">
        <v>3</v>
      </c>
      <c r="N94">
        <v>4300</v>
      </c>
    </row>
    <row r="95" spans="1:14" x14ac:dyDescent="0.25">
      <c r="A95" t="s">
        <v>122</v>
      </c>
      <c r="B95" t="s">
        <v>4</v>
      </c>
      <c r="C95" t="s">
        <v>25</v>
      </c>
      <c r="D95" t="s">
        <v>214</v>
      </c>
      <c r="E95" t="s">
        <v>220</v>
      </c>
      <c r="F95" s="1">
        <v>11000000</v>
      </c>
      <c r="G95">
        <v>320</v>
      </c>
      <c r="H95" t="s">
        <v>224</v>
      </c>
      <c r="I95">
        <v>720</v>
      </c>
      <c r="J95" t="s">
        <v>221</v>
      </c>
      <c r="K95" t="s">
        <v>221</v>
      </c>
      <c r="L95">
        <v>520</v>
      </c>
      <c r="M95">
        <v>3</v>
      </c>
      <c r="N95">
        <v>60</v>
      </c>
    </row>
    <row r="96" spans="1:14" x14ac:dyDescent="0.25">
      <c r="A96" t="s">
        <v>123</v>
      </c>
      <c r="B96" t="s">
        <v>4</v>
      </c>
      <c r="C96" t="s">
        <v>124</v>
      </c>
      <c r="D96" t="s">
        <v>216</v>
      </c>
      <c r="E96" t="s">
        <v>222</v>
      </c>
      <c r="F96" s="1">
        <v>20000000</v>
      </c>
      <c r="G96">
        <v>250</v>
      </c>
      <c r="H96" t="s">
        <v>221</v>
      </c>
      <c r="I96">
        <v>900</v>
      </c>
      <c r="J96" t="s">
        <v>221</v>
      </c>
      <c r="K96" t="s">
        <v>221</v>
      </c>
      <c r="L96">
        <v>650</v>
      </c>
      <c r="M96">
        <v>6</v>
      </c>
      <c r="N96">
        <v>300</v>
      </c>
    </row>
    <row r="97" spans="1:14" x14ac:dyDescent="0.25">
      <c r="A97" t="s">
        <v>125</v>
      </c>
      <c r="B97" t="s">
        <v>10</v>
      </c>
      <c r="C97" t="s">
        <v>56</v>
      </c>
      <c r="D97" t="s">
        <v>214</v>
      </c>
      <c r="E97" t="s">
        <v>220</v>
      </c>
      <c r="F97" s="1">
        <v>55000000</v>
      </c>
      <c r="G97">
        <v>130</v>
      </c>
      <c r="H97" t="s">
        <v>221</v>
      </c>
      <c r="I97">
        <v>360</v>
      </c>
      <c r="J97" t="s">
        <v>230</v>
      </c>
      <c r="K97" t="s">
        <v>221</v>
      </c>
      <c r="L97">
        <v>350</v>
      </c>
      <c r="M97">
        <v>6</v>
      </c>
      <c r="N97">
        <v>120</v>
      </c>
    </row>
    <row r="98" spans="1:14" x14ac:dyDescent="0.25">
      <c r="A98" t="s">
        <v>126</v>
      </c>
      <c r="B98" t="s">
        <v>13</v>
      </c>
      <c r="C98" t="s">
        <v>103</v>
      </c>
      <c r="D98" t="s">
        <v>214</v>
      </c>
      <c r="E98" t="s">
        <v>220</v>
      </c>
      <c r="F98" s="1">
        <v>130000</v>
      </c>
      <c r="G98">
        <v>120</v>
      </c>
      <c r="H98" t="s">
        <v>221</v>
      </c>
      <c r="I98">
        <v>320</v>
      </c>
      <c r="J98" t="s">
        <v>230</v>
      </c>
      <c r="K98" t="s">
        <v>230</v>
      </c>
      <c r="L98">
        <v>300</v>
      </c>
      <c r="M98">
        <v>4</v>
      </c>
      <c r="N98">
        <v>0.35</v>
      </c>
    </row>
    <row r="99" spans="1:14" x14ac:dyDescent="0.25">
      <c r="A99" t="s">
        <v>127</v>
      </c>
      <c r="B99" t="s">
        <v>4</v>
      </c>
      <c r="C99" t="s">
        <v>67</v>
      </c>
      <c r="D99" t="s">
        <v>213</v>
      </c>
      <c r="E99" t="s">
        <v>219</v>
      </c>
      <c r="F99" s="1">
        <v>26000000</v>
      </c>
      <c r="G99">
        <v>0</v>
      </c>
      <c r="H99" t="s">
        <v>227</v>
      </c>
      <c r="I99">
        <v>0</v>
      </c>
      <c r="J99" t="s">
        <v>230</v>
      </c>
      <c r="K99" t="s">
        <v>230</v>
      </c>
      <c r="L99">
        <v>180</v>
      </c>
      <c r="M99">
        <v>8</v>
      </c>
      <c r="N99">
        <v>35</v>
      </c>
    </row>
    <row r="100" spans="1:14" x14ac:dyDescent="0.25">
      <c r="A100" t="s">
        <v>128</v>
      </c>
      <c r="B100" t="s">
        <v>4</v>
      </c>
      <c r="C100" t="s">
        <v>67</v>
      </c>
      <c r="D100" t="s">
        <v>215</v>
      </c>
      <c r="E100" t="s">
        <v>221</v>
      </c>
      <c r="F100" s="1">
        <v>52000000</v>
      </c>
      <c r="G100">
        <v>1700</v>
      </c>
      <c r="H100" t="s">
        <v>228</v>
      </c>
      <c r="I100">
        <v>4000</v>
      </c>
      <c r="J100" t="s">
        <v>228</v>
      </c>
      <c r="K100" t="s">
        <v>228</v>
      </c>
      <c r="L100">
        <v>2800</v>
      </c>
      <c r="M100">
        <v>3</v>
      </c>
      <c r="N100">
        <v>1850</v>
      </c>
    </row>
    <row r="101" spans="1:14" x14ac:dyDescent="0.25">
      <c r="A101" t="s">
        <v>129</v>
      </c>
      <c r="B101" t="s">
        <v>4</v>
      </c>
      <c r="C101" t="s">
        <v>25</v>
      </c>
      <c r="D101" t="s">
        <v>215</v>
      </c>
      <c r="E101" t="s">
        <v>221</v>
      </c>
      <c r="F101" s="1">
        <v>4300000</v>
      </c>
      <c r="G101">
        <v>1600</v>
      </c>
      <c r="H101" t="s">
        <v>228</v>
      </c>
      <c r="I101">
        <v>4800</v>
      </c>
      <c r="J101" t="s">
        <v>228</v>
      </c>
      <c r="K101" t="s">
        <v>220</v>
      </c>
      <c r="L101">
        <v>2500</v>
      </c>
      <c r="M101">
        <v>2</v>
      </c>
      <c r="N101">
        <v>230</v>
      </c>
    </row>
    <row r="102" spans="1:14" x14ac:dyDescent="0.25">
      <c r="A102" t="s">
        <v>130</v>
      </c>
      <c r="B102" t="s">
        <v>4</v>
      </c>
      <c r="C102" t="s">
        <v>124</v>
      </c>
      <c r="D102" t="s">
        <v>214</v>
      </c>
      <c r="E102" t="s">
        <v>220</v>
      </c>
      <c r="F102" s="1">
        <v>7200000</v>
      </c>
      <c r="G102">
        <v>200</v>
      </c>
      <c r="H102" t="s">
        <v>221</v>
      </c>
      <c r="I102">
        <v>480</v>
      </c>
      <c r="J102" t="s">
        <v>230</v>
      </c>
      <c r="K102" t="s">
        <v>230</v>
      </c>
      <c r="L102">
        <v>300</v>
      </c>
      <c r="M102">
        <v>6</v>
      </c>
      <c r="N102">
        <v>22</v>
      </c>
    </row>
    <row r="103" spans="1:14" x14ac:dyDescent="0.25">
      <c r="A103" t="s">
        <v>131</v>
      </c>
      <c r="B103" t="s">
        <v>4</v>
      </c>
      <c r="C103" t="s">
        <v>51</v>
      </c>
      <c r="D103" t="s">
        <v>214</v>
      </c>
      <c r="E103" t="s">
        <v>220</v>
      </c>
      <c r="F103" s="1">
        <v>7700000</v>
      </c>
      <c r="G103">
        <v>180</v>
      </c>
      <c r="H103" t="s">
        <v>221</v>
      </c>
      <c r="I103">
        <v>400</v>
      </c>
      <c r="J103" t="s">
        <v>230</v>
      </c>
      <c r="K103" t="s">
        <v>230</v>
      </c>
      <c r="L103">
        <v>320</v>
      </c>
      <c r="M103">
        <v>4</v>
      </c>
      <c r="N103">
        <v>27</v>
      </c>
    </row>
    <row r="104" spans="1:14" x14ac:dyDescent="0.25">
      <c r="A104" t="s">
        <v>132</v>
      </c>
      <c r="B104" t="s">
        <v>7</v>
      </c>
      <c r="C104" t="s">
        <v>80</v>
      </c>
      <c r="D104" t="s">
        <v>215</v>
      </c>
      <c r="E104" t="s">
        <v>221</v>
      </c>
      <c r="F104" s="1">
        <v>1800000</v>
      </c>
      <c r="G104">
        <v>800</v>
      </c>
      <c r="H104" t="s">
        <v>220</v>
      </c>
      <c r="I104">
        <v>2000</v>
      </c>
      <c r="J104" t="s">
        <v>224</v>
      </c>
      <c r="K104" t="s">
        <v>224</v>
      </c>
      <c r="L104">
        <v>1400</v>
      </c>
      <c r="M104">
        <v>4</v>
      </c>
      <c r="N104">
        <v>60</v>
      </c>
    </row>
    <row r="105" spans="1:14" x14ac:dyDescent="0.25">
      <c r="A105" t="s">
        <v>133</v>
      </c>
      <c r="B105" t="s">
        <v>4</v>
      </c>
      <c r="C105" t="s">
        <v>25</v>
      </c>
      <c r="D105" t="s">
        <v>214</v>
      </c>
      <c r="E105" t="s">
        <v>220</v>
      </c>
      <c r="F105" s="1">
        <v>5600000</v>
      </c>
      <c r="G105">
        <v>50</v>
      </c>
      <c r="H105" t="s">
        <v>227</v>
      </c>
      <c r="I105">
        <v>120</v>
      </c>
      <c r="J105" t="s">
        <v>230</v>
      </c>
      <c r="K105" t="s">
        <v>220</v>
      </c>
      <c r="L105">
        <v>800</v>
      </c>
      <c r="M105">
        <v>120</v>
      </c>
      <c r="N105">
        <v>25</v>
      </c>
    </row>
    <row r="106" spans="1:14" x14ac:dyDescent="0.25">
      <c r="A106" t="s">
        <v>134</v>
      </c>
      <c r="B106" t="s">
        <v>10</v>
      </c>
      <c r="C106" t="s">
        <v>48</v>
      </c>
      <c r="D106" t="s">
        <v>213</v>
      </c>
      <c r="E106" t="s">
        <v>219</v>
      </c>
      <c r="F106" s="1">
        <v>2300000</v>
      </c>
      <c r="G106">
        <v>150</v>
      </c>
      <c r="H106" t="s">
        <v>221</v>
      </c>
      <c r="I106">
        <v>360</v>
      </c>
      <c r="J106" t="s">
        <v>230</v>
      </c>
      <c r="K106" t="s">
        <v>230</v>
      </c>
      <c r="L106">
        <v>300</v>
      </c>
      <c r="M106">
        <v>5</v>
      </c>
      <c r="N106">
        <v>5</v>
      </c>
    </row>
    <row r="107" spans="1:14" x14ac:dyDescent="0.25">
      <c r="A107" t="s">
        <v>135</v>
      </c>
      <c r="B107" t="s">
        <v>10</v>
      </c>
      <c r="C107" t="s">
        <v>42</v>
      </c>
      <c r="D107" t="s">
        <v>213</v>
      </c>
      <c r="E107" t="s">
        <v>219</v>
      </c>
      <c r="F107" s="1">
        <v>5400000</v>
      </c>
      <c r="G107">
        <v>90</v>
      </c>
      <c r="H107" t="s">
        <v>227</v>
      </c>
      <c r="I107">
        <v>210</v>
      </c>
      <c r="J107" t="s">
        <v>230</v>
      </c>
      <c r="K107" t="s">
        <v>230</v>
      </c>
      <c r="L107">
        <v>250</v>
      </c>
      <c r="M107">
        <v>6</v>
      </c>
      <c r="N107">
        <v>6</v>
      </c>
    </row>
    <row r="108" spans="1:14" x14ac:dyDescent="0.25">
      <c r="A108" t="s">
        <v>136</v>
      </c>
      <c r="B108" t="s">
        <v>10</v>
      </c>
      <c r="C108" t="s">
        <v>11</v>
      </c>
      <c r="D108" t="s">
        <v>214</v>
      </c>
      <c r="E108" t="s">
        <v>220</v>
      </c>
      <c r="F108" s="1">
        <v>7200000</v>
      </c>
      <c r="G108">
        <v>300</v>
      </c>
      <c r="H108" t="s">
        <v>224</v>
      </c>
      <c r="I108">
        <v>720</v>
      </c>
      <c r="J108" t="s">
        <v>221</v>
      </c>
      <c r="K108" t="s">
        <v>221</v>
      </c>
      <c r="L108">
        <v>450</v>
      </c>
      <c r="M108">
        <v>5</v>
      </c>
      <c r="N108">
        <v>85</v>
      </c>
    </row>
    <row r="109" spans="1:14" x14ac:dyDescent="0.25">
      <c r="A109" t="s">
        <v>137</v>
      </c>
      <c r="B109" t="s">
        <v>7</v>
      </c>
      <c r="C109" t="s">
        <v>30</v>
      </c>
      <c r="D109" t="s">
        <v>215</v>
      </c>
      <c r="E109" t="s">
        <v>221</v>
      </c>
      <c r="F109" s="1">
        <v>40000</v>
      </c>
      <c r="G109">
        <v>0</v>
      </c>
      <c r="H109" t="s">
        <v>228</v>
      </c>
      <c r="I109">
        <v>6500</v>
      </c>
      <c r="J109" t="s">
        <v>228</v>
      </c>
      <c r="K109" t="s">
        <v>228</v>
      </c>
      <c r="L109">
        <v>4200</v>
      </c>
      <c r="M109">
        <v>3</v>
      </c>
      <c r="N109">
        <v>6</v>
      </c>
    </row>
    <row r="110" spans="1:14" x14ac:dyDescent="0.25">
      <c r="A110" t="s">
        <v>138</v>
      </c>
      <c r="B110" t="s">
        <v>7</v>
      </c>
      <c r="C110" t="s">
        <v>80</v>
      </c>
      <c r="D110" t="s">
        <v>215</v>
      </c>
      <c r="E110" t="s">
        <v>221</v>
      </c>
      <c r="F110" s="1">
        <v>2800000</v>
      </c>
      <c r="G110">
        <v>900</v>
      </c>
      <c r="H110" t="s">
        <v>220</v>
      </c>
      <c r="I110">
        <v>2100</v>
      </c>
      <c r="J110" t="s">
        <v>224</v>
      </c>
      <c r="K110" t="s">
        <v>224</v>
      </c>
      <c r="L110">
        <v>1500</v>
      </c>
      <c r="M110">
        <v>4</v>
      </c>
      <c r="N110">
        <v>90</v>
      </c>
    </row>
    <row r="111" spans="1:14" x14ac:dyDescent="0.25">
      <c r="A111" t="s">
        <v>139</v>
      </c>
      <c r="B111" t="s">
        <v>7</v>
      </c>
      <c r="C111" t="s">
        <v>30</v>
      </c>
      <c r="D111" t="s">
        <v>215</v>
      </c>
      <c r="E111" t="s">
        <v>221</v>
      </c>
      <c r="F111" s="1">
        <v>660000</v>
      </c>
      <c r="G111">
        <v>2200</v>
      </c>
      <c r="H111" t="s">
        <v>228</v>
      </c>
      <c r="I111">
        <v>6000</v>
      </c>
      <c r="J111" t="s">
        <v>228</v>
      </c>
      <c r="K111" t="s">
        <v>228</v>
      </c>
      <c r="L111">
        <v>3500</v>
      </c>
      <c r="M111">
        <v>3</v>
      </c>
      <c r="N111">
        <v>125</v>
      </c>
    </row>
    <row r="112" spans="1:14" x14ac:dyDescent="0.25">
      <c r="A112" t="s">
        <v>140</v>
      </c>
      <c r="B112" t="s">
        <v>10</v>
      </c>
      <c r="C112" t="s">
        <v>56</v>
      </c>
      <c r="D112" t="s">
        <v>213</v>
      </c>
      <c r="E112" t="s">
        <v>219</v>
      </c>
      <c r="F112" s="1">
        <v>30000000</v>
      </c>
      <c r="G112">
        <v>60</v>
      </c>
      <c r="H112" t="s">
        <v>227</v>
      </c>
      <c r="I112">
        <v>180</v>
      </c>
      <c r="J112" t="s">
        <v>230</v>
      </c>
      <c r="K112" t="s">
        <v>230</v>
      </c>
      <c r="L112">
        <v>220</v>
      </c>
      <c r="M112">
        <v>7</v>
      </c>
      <c r="N112">
        <v>22</v>
      </c>
    </row>
    <row r="113" spans="1:14" x14ac:dyDescent="0.25">
      <c r="A113" t="s">
        <v>141</v>
      </c>
      <c r="B113" t="s">
        <v>10</v>
      </c>
      <c r="C113" t="s">
        <v>48</v>
      </c>
      <c r="D113" t="s">
        <v>213</v>
      </c>
      <c r="E113" t="s">
        <v>219</v>
      </c>
      <c r="F113" s="1">
        <v>21000000</v>
      </c>
      <c r="G113">
        <v>50</v>
      </c>
      <c r="H113" t="s">
        <v>227</v>
      </c>
      <c r="I113">
        <v>140</v>
      </c>
      <c r="J113" t="s">
        <v>230</v>
      </c>
      <c r="K113" t="s">
        <v>230</v>
      </c>
      <c r="L113">
        <v>200</v>
      </c>
      <c r="M113">
        <v>8</v>
      </c>
      <c r="N113">
        <v>18</v>
      </c>
    </row>
    <row r="114" spans="1:14" x14ac:dyDescent="0.25">
      <c r="A114" t="s">
        <v>142</v>
      </c>
      <c r="B114" t="s">
        <v>4</v>
      </c>
      <c r="C114" t="s">
        <v>51</v>
      </c>
      <c r="D114" t="s">
        <v>217</v>
      </c>
      <c r="E114" t="s">
        <v>222</v>
      </c>
      <c r="F114" s="1">
        <v>34000000</v>
      </c>
      <c r="G114">
        <v>400</v>
      </c>
      <c r="H114" t="s">
        <v>224</v>
      </c>
      <c r="I114">
        <v>1200</v>
      </c>
      <c r="J114" t="s">
        <v>224</v>
      </c>
      <c r="K114" t="s">
        <v>221</v>
      </c>
      <c r="L114">
        <v>900</v>
      </c>
      <c r="M114">
        <v>3</v>
      </c>
      <c r="N114">
        <v>440</v>
      </c>
    </row>
    <row r="115" spans="1:14" x14ac:dyDescent="0.25">
      <c r="A115" t="s">
        <v>143</v>
      </c>
      <c r="B115" t="s">
        <v>4</v>
      </c>
      <c r="C115" t="s">
        <v>5</v>
      </c>
      <c r="D115" t="s">
        <v>216</v>
      </c>
      <c r="E115" t="s">
        <v>222</v>
      </c>
      <c r="F115" s="1">
        <v>520000</v>
      </c>
      <c r="G115">
        <v>500</v>
      </c>
      <c r="H115" t="s">
        <v>224</v>
      </c>
      <c r="I115">
        <v>1350</v>
      </c>
      <c r="J115" t="s">
        <v>221</v>
      </c>
      <c r="K115" t="s">
        <v>220</v>
      </c>
      <c r="L115">
        <v>1600</v>
      </c>
      <c r="M115">
        <v>4</v>
      </c>
      <c r="N115">
        <v>8</v>
      </c>
    </row>
    <row r="116" spans="1:14" x14ac:dyDescent="0.25">
      <c r="A116" t="s">
        <v>144</v>
      </c>
      <c r="B116" t="s">
        <v>10</v>
      </c>
      <c r="C116" t="s">
        <v>42</v>
      </c>
      <c r="D116" t="s">
        <v>213</v>
      </c>
      <c r="E116" t="s">
        <v>219</v>
      </c>
      <c r="F116" s="1">
        <v>24000000</v>
      </c>
      <c r="G116">
        <v>70</v>
      </c>
      <c r="H116" t="s">
        <v>227</v>
      </c>
      <c r="I116">
        <v>170</v>
      </c>
      <c r="J116" t="s">
        <v>230</v>
      </c>
      <c r="K116" t="s">
        <v>230</v>
      </c>
      <c r="L116">
        <v>220</v>
      </c>
      <c r="M116">
        <v>4</v>
      </c>
      <c r="N116">
        <v>32</v>
      </c>
    </row>
    <row r="117" spans="1:14" x14ac:dyDescent="0.25">
      <c r="A117" t="s">
        <v>145</v>
      </c>
      <c r="B117" t="s">
        <v>7</v>
      </c>
      <c r="C117" t="s">
        <v>8</v>
      </c>
      <c r="D117" t="s">
        <v>215</v>
      </c>
      <c r="E117" t="s">
        <v>221</v>
      </c>
      <c r="F117" s="1">
        <v>540000</v>
      </c>
      <c r="G117">
        <v>1000</v>
      </c>
      <c r="H117" t="s">
        <v>220</v>
      </c>
      <c r="I117">
        <v>2800</v>
      </c>
      <c r="J117" t="s">
        <v>220</v>
      </c>
      <c r="K117" t="s">
        <v>220</v>
      </c>
      <c r="L117">
        <v>2000</v>
      </c>
      <c r="M117">
        <v>3</v>
      </c>
      <c r="N117">
        <v>65</v>
      </c>
    </row>
    <row r="118" spans="1:14" x14ac:dyDescent="0.25">
      <c r="A118" t="s">
        <v>146</v>
      </c>
      <c r="B118" t="s">
        <v>10</v>
      </c>
      <c r="C118" t="s">
        <v>56</v>
      </c>
      <c r="D118" t="s">
        <v>216</v>
      </c>
      <c r="E118" t="s">
        <v>222</v>
      </c>
      <c r="F118" s="1">
        <v>1300000</v>
      </c>
      <c r="G118">
        <v>450</v>
      </c>
      <c r="H118" t="s">
        <v>224</v>
      </c>
      <c r="I118">
        <v>1200</v>
      </c>
      <c r="J118" t="s">
        <v>221</v>
      </c>
      <c r="K118" t="s">
        <v>224</v>
      </c>
      <c r="L118">
        <v>1000</v>
      </c>
      <c r="M118">
        <v>4</v>
      </c>
      <c r="N118">
        <v>20</v>
      </c>
    </row>
    <row r="119" spans="1:14" x14ac:dyDescent="0.25">
      <c r="A119" t="s">
        <v>147</v>
      </c>
      <c r="B119" t="s">
        <v>19</v>
      </c>
      <c r="C119" t="s">
        <v>40</v>
      </c>
      <c r="D119" t="s">
        <v>216</v>
      </c>
      <c r="E119" t="s">
        <v>222</v>
      </c>
      <c r="F119" s="1">
        <v>129000000</v>
      </c>
      <c r="G119">
        <v>400</v>
      </c>
      <c r="H119" t="s">
        <v>224</v>
      </c>
      <c r="I119">
        <v>1050</v>
      </c>
      <c r="J119" t="s">
        <v>221</v>
      </c>
      <c r="K119" t="s">
        <v>224</v>
      </c>
      <c r="L119">
        <v>900</v>
      </c>
      <c r="M119">
        <v>5</v>
      </c>
      <c r="N119">
        <v>2000</v>
      </c>
    </row>
    <row r="120" spans="1:14" x14ac:dyDescent="0.25">
      <c r="A120" t="s">
        <v>148</v>
      </c>
      <c r="B120" t="s">
        <v>7</v>
      </c>
      <c r="C120" t="s">
        <v>37</v>
      </c>
      <c r="D120" t="s">
        <v>214</v>
      </c>
      <c r="E120" t="s">
        <v>220</v>
      </c>
      <c r="F120" s="1">
        <v>2500000</v>
      </c>
      <c r="G120">
        <v>250</v>
      </c>
      <c r="H120" t="s">
        <v>221</v>
      </c>
      <c r="I120">
        <v>560</v>
      </c>
      <c r="J120" t="s">
        <v>230</v>
      </c>
      <c r="K120" t="s">
        <v>230</v>
      </c>
      <c r="L120">
        <v>400</v>
      </c>
      <c r="M120">
        <v>6</v>
      </c>
      <c r="N120">
        <v>38</v>
      </c>
    </row>
    <row r="121" spans="1:14" x14ac:dyDescent="0.25">
      <c r="A121" t="s">
        <v>149</v>
      </c>
      <c r="B121" t="s">
        <v>7</v>
      </c>
      <c r="C121" t="s">
        <v>30</v>
      </c>
      <c r="D121" t="s">
        <v>215</v>
      </c>
      <c r="E121" t="s">
        <v>221</v>
      </c>
      <c r="F121" s="1">
        <v>39000</v>
      </c>
      <c r="G121">
        <v>0</v>
      </c>
      <c r="H121" t="s">
        <v>228</v>
      </c>
      <c r="I121">
        <v>7500</v>
      </c>
      <c r="J121" t="s">
        <v>228</v>
      </c>
      <c r="K121" t="s">
        <v>228</v>
      </c>
      <c r="L121">
        <v>5000</v>
      </c>
      <c r="M121">
        <v>3</v>
      </c>
      <c r="N121">
        <v>8</v>
      </c>
    </row>
    <row r="122" spans="1:14" x14ac:dyDescent="0.25">
      <c r="A122" t="s">
        <v>150</v>
      </c>
      <c r="B122" t="s">
        <v>4</v>
      </c>
      <c r="C122" t="s">
        <v>67</v>
      </c>
      <c r="D122" t="s">
        <v>214</v>
      </c>
      <c r="E122" t="s">
        <v>220</v>
      </c>
      <c r="F122" s="1">
        <v>3500000</v>
      </c>
      <c r="G122">
        <v>250</v>
      </c>
      <c r="H122" t="s">
        <v>221</v>
      </c>
      <c r="I122">
        <v>640</v>
      </c>
      <c r="J122" t="s">
        <v>230</v>
      </c>
      <c r="K122" t="s">
        <v>221</v>
      </c>
      <c r="L122">
        <v>650</v>
      </c>
      <c r="M122">
        <v>5</v>
      </c>
      <c r="N122">
        <v>55</v>
      </c>
    </row>
    <row r="123" spans="1:14" x14ac:dyDescent="0.25">
      <c r="A123" t="s">
        <v>151</v>
      </c>
      <c r="B123" t="s">
        <v>10</v>
      </c>
      <c r="C123" t="s">
        <v>11</v>
      </c>
      <c r="D123" t="s">
        <v>214</v>
      </c>
      <c r="E123" t="s">
        <v>220</v>
      </c>
      <c r="F123" s="1">
        <v>37000000</v>
      </c>
      <c r="G123">
        <v>320</v>
      </c>
      <c r="H123" t="s">
        <v>224</v>
      </c>
      <c r="I123">
        <v>720</v>
      </c>
      <c r="J123" t="s">
        <v>221</v>
      </c>
      <c r="K123" t="s">
        <v>221</v>
      </c>
      <c r="L123">
        <v>550</v>
      </c>
      <c r="M123">
        <v>4</v>
      </c>
      <c r="N123">
        <v>155</v>
      </c>
    </row>
    <row r="124" spans="1:14" x14ac:dyDescent="0.25">
      <c r="A124" t="s">
        <v>152</v>
      </c>
      <c r="B124" t="s">
        <v>10</v>
      </c>
      <c r="C124" t="s">
        <v>48</v>
      </c>
      <c r="D124" t="s">
        <v>213</v>
      </c>
      <c r="E124" t="s">
        <v>219</v>
      </c>
      <c r="F124" s="1">
        <v>33000000</v>
      </c>
      <c r="G124">
        <v>60</v>
      </c>
      <c r="H124" t="s">
        <v>227</v>
      </c>
      <c r="I124">
        <v>180</v>
      </c>
      <c r="J124" t="s">
        <v>230</v>
      </c>
      <c r="K124" t="s">
        <v>230</v>
      </c>
      <c r="L124">
        <v>250</v>
      </c>
      <c r="M124">
        <v>8</v>
      </c>
      <c r="N124">
        <v>22</v>
      </c>
    </row>
    <row r="125" spans="1:14" x14ac:dyDescent="0.25">
      <c r="A125" t="s">
        <v>153</v>
      </c>
      <c r="B125" t="s">
        <v>10</v>
      </c>
      <c r="C125" t="s">
        <v>48</v>
      </c>
      <c r="D125" t="s">
        <v>214</v>
      </c>
      <c r="E125" t="s">
        <v>220</v>
      </c>
      <c r="F125" s="1">
        <v>2700000</v>
      </c>
      <c r="G125">
        <v>200</v>
      </c>
      <c r="H125" t="s">
        <v>221</v>
      </c>
      <c r="I125">
        <v>640</v>
      </c>
      <c r="J125" t="s">
        <v>230</v>
      </c>
      <c r="K125" t="s">
        <v>221</v>
      </c>
      <c r="L125">
        <v>650</v>
      </c>
      <c r="M125">
        <v>5</v>
      </c>
      <c r="N125">
        <v>16</v>
      </c>
    </row>
    <row r="126" spans="1:14" x14ac:dyDescent="0.25">
      <c r="A126" t="s">
        <v>154</v>
      </c>
      <c r="B126" t="s">
        <v>4</v>
      </c>
      <c r="C126" t="s">
        <v>5</v>
      </c>
      <c r="D126" t="s">
        <v>214</v>
      </c>
      <c r="E126" t="s">
        <v>220</v>
      </c>
      <c r="F126" s="1">
        <v>31000000</v>
      </c>
      <c r="G126">
        <v>120</v>
      </c>
      <c r="H126" t="s">
        <v>221</v>
      </c>
      <c r="I126">
        <v>320</v>
      </c>
      <c r="J126" t="s">
        <v>230</v>
      </c>
      <c r="K126" t="s">
        <v>230</v>
      </c>
      <c r="L126">
        <v>280</v>
      </c>
      <c r="M126">
        <v>6</v>
      </c>
      <c r="N126">
        <v>48</v>
      </c>
    </row>
    <row r="127" spans="1:14" x14ac:dyDescent="0.25">
      <c r="A127" t="s">
        <v>155</v>
      </c>
      <c r="B127" t="s">
        <v>7</v>
      </c>
      <c r="C127" t="s">
        <v>30</v>
      </c>
      <c r="D127" t="s">
        <v>215</v>
      </c>
      <c r="E127" t="s">
        <v>221</v>
      </c>
      <c r="F127" s="1">
        <v>17900000</v>
      </c>
      <c r="G127">
        <v>2000</v>
      </c>
      <c r="H127" t="s">
        <v>228</v>
      </c>
      <c r="I127">
        <v>4800</v>
      </c>
      <c r="J127" t="s">
        <v>228</v>
      </c>
      <c r="K127" t="s">
        <v>228</v>
      </c>
      <c r="L127">
        <v>3000</v>
      </c>
      <c r="M127">
        <v>3</v>
      </c>
      <c r="N127">
        <v>1120</v>
      </c>
    </row>
    <row r="128" spans="1:14" x14ac:dyDescent="0.25">
      <c r="A128" t="s">
        <v>156</v>
      </c>
      <c r="B128" t="s">
        <v>13</v>
      </c>
      <c r="C128" t="s">
        <v>28</v>
      </c>
      <c r="D128" t="s">
        <v>215</v>
      </c>
      <c r="E128" t="s">
        <v>221</v>
      </c>
      <c r="F128" s="1">
        <v>5200000</v>
      </c>
      <c r="G128">
        <v>2200</v>
      </c>
      <c r="H128" t="s">
        <v>228</v>
      </c>
      <c r="I128">
        <v>4700</v>
      </c>
      <c r="J128" t="s">
        <v>228</v>
      </c>
      <c r="K128" t="s">
        <v>228</v>
      </c>
      <c r="L128">
        <v>3000</v>
      </c>
      <c r="M128">
        <v>3</v>
      </c>
      <c r="N128">
        <v>270</v>
      </c>
    </row>
    <row r="129" spans="1:18" x14ac:dyDescent="0.25">
      <c r="A129" t="s">
        <v>157</v>
      </c>
      <c r="B129" t="s">
        <v>19</v>
      </c>
      <c r="C129" t="s">
        <v>40</v>
      </c>
      <c r="D129" t="s">
        <v>214</v>
      </c>
      <c r="E129" t="s">
        <v>220</v>
      </c>
      <c r="F129" s="1">
        <v>6800000</v>
      </c>
      <c r="G129">
        <v>200</v>
      </c>
      <c r="H129" t="s">
        <v>221</v>
      </c>
      <c r="I129">
        <v>480</v>
      </c>
      <c r="J129" t="s">
        <v>230</v>
      </c>
      <c r="K129" t="s">
        <v>230</v>
      </c>
      <c r="L129">
        <v>350</v>
      </c>
      <c r="M129">
        <v>5</v>
      </c>
      <c r="N129">
        <v>27</v>
      </c>
    </row>
    <row r="130" spans="1:18" x14ac:dyDescent="0.25">
      <c r="A130" t="s">
        <v>158</v>
      </c>
      <c r="B130" t="s">
        <v>10</v>
      </c>
      <c r="C130" t="s">
        <v>42</v>
      </c>
      <c r="D130" t="s">
        <v>213</v>
      </c>
      <c r="E130" t="s">
        <v>219</v>
      </c>
      <c r="F130" s="1">
        <v>27000000</v>
      </c>
      <c r="G130">
        <v>50</v>
      </c>
      <c r="H130" t="s">
        <v>227</v>
      </c>
      <c r="I130">
        <v>130</v>
      </c>
      <c r="J130" t="s">
        <v>230</v>
      </c>
      <c r="K130" t="s">
        <v>230</v>
      </c>
      <c r="L130">
        <v>200</v>
      </c>
      <c r="M130">
        <v>4</v>
      </c>
      <c r="N130">
        <v>18</v>
      </c>
    </row>
    <row r="131" spans="1:18" x14ac:dyDescent="0.25">
      <c r="A131" t="s">
        <v>159</v>
      </c>
      <c r="B131" t="s">
        <v>10</v>
      </c>
      <c r="C131" t="s">
        <v>42</v>
      </c>
      <c r="D131" t="s">
        <v>214</v>
      </c>
      <c r="E131" t="s">
        <v>220</v>
      </c>
      <c r="F131" s="1">
        <v>229000000</v>
      </c>
      <c r="G131">
        <v>50</v>
      </c>
      <c r="H131" t="s">
        <v>227</v>
      </c>
      <c r="I131">
        <v>220</v>
      </c>
      <c r="J131" t="s">
        <v>230</v>
      </c>
      <c r="K131" t="s">
        <v>221</v>
      </c>
      <c r="L131">
        <v>450</v>
      </c>
      <c r="M131">
        <v>24</v>
      </c>
      <c r="N131">
        <v>560</v>
      </c>
      <c r="R131" s="1">
        <f>F131/520000000</f>
        <v>0.44038461538461537</v>
      </c>
    </row>
    <row r="132" spans="1:18" x14ac:dyDescent="0.25">
      <c r="A132" t="s">
        <v>160</v>
      </c>
      <c r="B132" t="s">
        <v>7</v>
      </c>
      <c r="C132" t="s">
        <v>80</v>
      </c>
      <c r="D132" t="s">
        <v>215</v>
      </c>
      <c r="E132" t="s">
        <v>221</v>
      </c>
      <c r="F132" s="1">
        <v>5500000</v>
      </c>
      <c r="G132">
        <v>0</v>
      </c>
      <c r="H132" t="s">
        <v>228</v>
      </c>
      <c r="I132">
        <v>5600</v>
      </c>
      <c r="J132" t="s">
        <v>228</v>
      </c>
      <c r="K132" t="s">
        <v>228</v>
      </c>
      <c r="L132">
        <v>3500</v>
      </c>
      <c r="M132">
        <v>3</v>
      </c>
      <c r="N132">
        <v>620</v>
      </c>
    </row>
    <row r="133" spans="1:18" x14ac:dyDescent="0.25">
      <c r="A133" t="s">
        <v>161</v>
      </c>
      <c r="B133" t="s">
        <v>4</v>
      </c>
      <c r="C133" t="s">
        <v>25</v>
      </c>
      <c r="D133" t="s">
        <v>215</v>
      </c>
      <c r="E133" t="s">
        <v>221</v>
      </c>
      <c r="F133" s="1">
        <v>5000000</v>
      </c>
      <c r="G133">
        <v>1100</v>
      </c>
      <c r="H133" t="s">
        <v>220</v>
      </c>
      <c r="I133">
        <v>3200</v>
      </c>
      <c r="J133" t="s">
        <v>220</v>
      </c>
      <c r="K133" t="s">
        <v>224</v>
      </c>
      <c r="L133">
        <v>2000</v>
      </c>
      <c r="M133">
        <v>2</v>
      </c>
      <c r="N133">
        <v>130</v>
      </c>
    </row>
    <row r="134" spans="1:18" x14ac:dyDescent="0.25">
      <c r="A134" t="s">
        <v>162</v>
      </c>
      <c r="B134" t="s">
        <v>4</v>
      </c>
      <c r="C134" t="s">
        <v>5</v>
      </c>
      <c r="D134" t="s">
        <v>214</v>
      </c>
      <c r="E134" t="s">
        <v>220</v>
      </c>
      <c r="F134" s="1">
        <v>242000000</v>
      </c>
      <c r="G134">
        <v>150</v>
      </c>
      <c r="H134" t="s">
        <v>221</v>
      </c>
      <c r="I134">
        <v>360</v>
      </c>
      <c r="J134" t="s">
        <v>230</v>
      </c>
      <c r="K134" t="s">
        <v>230</v>
      </c>
      <c r="L134">
        <v>250</v>
      </c>
      <c r="M134">
        <v>30</v>
      </c>
      <c r="N134">
        <v>450</v>
      </c>
    </row>
    <row r="135" spans="1:18" x14ac:dyDescent="0.25">
      <c r="A135" t="s">
        <v>163</v>
      </c>
      <c r="B135" t="s">
        <v>19</v>
      </c>
      <c r="C135" t="s">
        <v>40</v>
      </c>
      <c r="D135" t="s">
        <v>216</v>
      </c>
      <c r="E135" t="s">
        <v>222</v>
      </c>
      <c r="F135" s="1">
        <v>4400000</v>
      </c>
      <c r="G135">
        <v>700</v>
      </c>
      <c r="H135" t="s">
        <v>220</v>
      </c>
      <c r="I135">
        <v>1600</v>
      </c>
      <c r="J135" t="s">
        <v>224</v>
      </c>
      <c r="K135" t="s">
        <v>224</v>
      </c>
      <c r="L135">
        <v>1200</v>
      </c>
      <c r="M135">
        <v>3</v>
      </c>
      <c r="N135">
        <v>95</v>
      </c>
    </row>
    <row r="136" spans="1:18" x14ac:dyDescent="0.25">
      <c r="A136" t="s">
        <v>164</v>
      </c>
      <c r="B136" t="s">
        <v>13</v>
      </c>
      <c r="C136" t="s">
        <v>93</v>
      </c>
      <c r="D136" t="s">
        <v>213</v>
      </c>
      <c r="E136" t="s">
        <v>219</v>
      </c>
      <c r="F136" s="1">
        <v>10000000</v>
      </c>
      <c r="G136">
        <v>100</v>
      </c>
      <c r="H136" t="s">
        <v>227</v>
      </c>
      <c r="I136">
        <v>260</v>
      </c>
      <c r="J136" t="s">
        <v>230</v>
      </c>
      <c r="K136" t="s">
        <v>230</v>
      </c>
      <c r="L136">
        <v>450</v>
      </c>
      <c r="M136">
        <v>5</v>
      </c>
      <c r="N136">
        <v>32</v>
      </c>
    </row>
    <row r="137" spans="1:18" x14ac:dyDescent="0.25">
      <c r="A137" t="s">
        <v>165</v>
      </c>
      <c r="B137" t="s">
        <v>23</v>
      </c>
      <c r="C137" t="s">
        <v>23</v>
      </c>
      <c r="D137" t="s">
        <v>214</v>
      </c>
      <c r="E137" t="s">
        <v>220</v>
      </c>
      <c r="F137" s="1">
        <v>7200000</v>
      </c>
      <c r="G137">
        <v>300</v>
      </c>
      <c r="H137" t="s">
        <v>224</v>
      </c>
      <c r="I137">
        <v>720</v>
      </c>
      <c r="J137" t="s">
        <v>221</v>
      </c>
      <c r="K137" t="s">
        <v>221</v>
      </c>
      <c r="L137">
        <v>550</v>
      </c>
      <c r="M137">
        <v>4</v>
      </c>
      <c r="N137">
        <v>50</v>
      </c>
    </row>
    <row r="138" spans="1:18" x14ac:dyDescent="0.25">
      <c r="A138" t="s">
        <v>166</v>
      </c>
      <c r="B138" t="s">
        <v>23</v>
      </c>
      <c r="C138" t="s">
        <v>23</v>
      </c>
      <c r="D138" t="s">
        <v>216</v>
      </c>
      <c r="E138" t="s">
        <v>222</v>
      </c>
      <c r="F138" s="1">
        <v>34000000</v>
      </c>
      <c r="G138">
        <v>450</v>
      </c>
      <c r="H138" t="s">
        <v>224</v>
      </c>
      <c r="I138">
        <v>1050</v>
      </c>
      <c r="J138" t="s">
        <v>221</v>
      </c>
      <c r="K138" t="s">
        <v>224</v>
      </c>
      <c r="L138">
        <v>750</v>
      </c>
      <c r="M138">
        <v>4</v>
      </c>
      <c r="N138">
        <v>250</v>
      </c>
    </row>
    <row r="139" spans="1:18" x14ac:dyDescent="0.25">
      <c r="A139" t="s">
        <v>167</v>
      </c>
      <c r="B139" t="s">
        <v>4</v>
      </c>
      <c r="C139" t="s">
        <v>51</v>
      </c>
      <c r="D139" t="s">
        <v>214</v>
      </c>
      <c r="E139" t="s">
        <v>220</v>
      </c>
      <c r="F139" s="1">
        <v>117000000</v>
      </c>
      <c r="G139">
        <v>180</v>
      </c>
      <c r="H139" t="s">
        <v>221</v>
      </c>
      <c r="I139">
        <v>560</v>
      </c>
      <c r="J139" t="s">
        <v>230</v>
      </c>
      <c r="K139" t="s">
        <v>221</v>
      </c>
      <c r="L139">
        <v>550</v>
      </c>
      <c r="M139">
        <v>5</v>
      </c>
      <c r="N139">
        <v>480</v>
      </c>
    </row>
    <row r="140" spans="1:18" x14ac:dyDescent="0.25">
      <c r="A140" t="s">
        <v>168</v>
      </c>
      <c r="B140" t="s">
        <v>7</v>
      </c>
      <c r="C140" t="s">
        <v>37</v>
      </c>
      <c r="D140" t="s">
        <v>215</v>
      </c>
      <c r="E140" t="s">
        <v>221</v>
      </c>
      <c r="F140" s="1">
        <v>37000000</v>
      </c>
      <c r="G140">
        <v>950</v>
      </c>
      <c r="H140" t="s">
        <v>220</v>
      </c>
      <c r="I140">
        <v>2300</v>
      </c>
      <c r="J140" t="s">
        <v>224</v>
      </c>
      <c r="K140" t="s">
        <v>224</v>
      </c>
      <c r="L140">
        <v>1600</v>
      </c>
      <c r="M140">
        <v>4</v>
      </c>
      <c r="N140">
        <v>820</v>
      </c>
    </row>
    <row r="141" spans="1:18" x14ac:dyDescent="0.25">
      <c r="A141" t="s">
        <v>169</v>
      </c>
      <c r="B141" t="s">
        <v>7</v>
      </c>
      <c r="C141" t="s">
        <v>8</v>
      </c>
      <c r="D141" t="s">
        <v>215</v>
      </c>
      <c r="E141" t="s">
        <v>221</v>
      </c>
      <c r="F141" s="1">
        <v>10200000</v>
      </c>
      <c r="G141">
        <v>1000</v>
      </c>
      <c r="H141" t="s">
        <v>220</v>
      </c>
      <c r="I141">
        <v>2200</v>
      </c>
      <c r="J141" t="s">
        <v>224</v>
      </c>
      <c r="K141" t="s">
        <v>220</v>
      </c>
      <c r="L141">
        <v>1900</v>
      </c>
      <c r="M141">
        <v>3</v>
      </c>
      <c r="N141">
        <v>310</v>
      </c>
    </row>
    <row r="142" spans="1:18" x14ac:dyDescent="0.25">
      <c r="A142" t="s">
        <v>170</v>
      </c>
      <c r="B142" t="s">
        <v>4</v>
      </c>
      <c r="C142" t="s">
        <v>25</v>
      </c>
      <c r="D142" t="s">
        <v>215</v>
      </c>
      <c r="E142" t="s">
        <v>221</v>
      </c>
      <c r="F142" s="1">
        <v>3000000</v>
      </c>
      <c r="G142">
        <v>1600</v>
      </c>
      <c r="H142" t="s">
        <v>228</v>
      </c>
      <c r="I142">
        <v>5000</v>
      </c>
      <c r="J142" t="s">
        <v>228</v>
      </c>
      <c r="K142" t="s">
        <v>220</v>
      </c>
      <c r="L142">
        <v>2800</v>
      </c>
      <c r="M142">
        <v>2</v>
      </c>
      <c r="N142">
        <v>250</v>
      </c>
    </row>
    <row r="143" spans="1:18" x14ac:dyDescent="0.25">
      <c r="A143" t="s">
        <v>171</v>
      </c>
      <c r="B143" t="s">
        <v>7</v>
      </c>
      <c r="C143" t="s">
        <v>37</v>
      </c>
      <c r="D143" t="s">
        <v>215</v>
      </c>
      <c r="E143" t="s">
        <v>221</v>
      </c>
      <c r="F143" s="1">
        <v>19000000</v>
      </c>
      <c r="G143">
        <v>900</v>
      </c>
      <c r="H143" t="s">
        <v>220</v>
      </c>
      <c r="I143">
        <v>2000</v>
      </c>
      <c r="J143" t="s">
        <v>224</v>
      </c>
      <c r="K143" t="s">
        <v>224</v>
      </c>
      <c r="L143">
        <v>1400</v>
      </c>
      <c r="M143">
        <v>4</v>
      </c>
      <c r="N143">
        <v>360</v>
      </c>
    </row>
    <row r="144" spans="1:18" x14ac:dyDescent="0.25">
      <c r="A144" t="s">
        <v>172</v>
      </c>
      <c r="B144" t="s">
        <v>7</v>
      </c>
      <c r="C144" t="s">
        <v>37</v>
      </c>
      <c r="D144" t="s">
        <v>217</v>
      </c>
      <c r="E144" t="s">
        <v>222</v>
      </c>
      <c r="F144" s="1">
        <v>144000000</v>
      </c>
      <c r="G144">
        <v>300</v>
      </c>
      <c r="H144" t="s">
        <v>224</v>
      </c>
      <c r="I144">
        <v>960</v>
      </c>
      <c r="J144" t="s">
        <v>221</v>
      </c>
      <c r="K144" t="s">
        <v>221</v>
      </c>
      <c r="L144">
        <v>800</v>
      </c>
      <c r="M144">
        <v>6</v>
      </c>
      <c r="N144">
        <v>2200</v>
      </c>
    </row>
    <row r="145" spans="1:14" x14ac:dyDescent="0.25">
      <c r="A145" t="s">
        <v>173</v>
      </c>
      <c r="B145" t="s">
        <v>10</v>
      </c>
      <c r="C145" t="s">
        <v>56</v>
      </c>
      <c r="D145" t="s">
        <v>213</v>
      </c>
      <c r="E145" t="s">
        <v>219</v>
      </c>
      <c r="F145" s="1">
        <v>14000000</v>
      </c>
      <c r="G145">
        <v>80</v>
      </c>
      <c r="H145" t="s">
        <v>227</v>
      </c>
      <c r="I145">
        <v>220</v>
      </c>
      <c r="J145" t="s">
        <v>230</v>
      </c>
      <c r="K145" t="s">
        <v>230</v>
      </c>
      <c r="L145">
        <v>280</v>
      </c>
      <c r="M145">
        <v>6</v>
      </c>
      <c r="N145">
        <v>16</v>
      </c>
    </row>
    <row r="146" spans="1:14" x14ac:dyDescent="0.25">
      <c r="A146" t="s">
        <v>174</v>
      </c>
      <c r="B146" t="s">
        <v>4</v>
      </c>
      <c r="C146" t="s">
        <v>25</v>
      </c>
      <c r="D146" t="s">
        <v>215</v>
      </c>
      <c r="E146" t="s">
        <v>221</v>
      </c>
      <c r="F146" s="1">
        <v>36000000</v>
      </c>
      <c r="G146">
        <v>1500</v>
      </c>
      <c r="H146" t="s">
        <v>228</v>
      </c>
      <c r="I146">
        <v>4500</v>
      </c>
      <c r="J146" t="s">
        <v>228</v>
      </c>
      <c r="K146" t="s">
        <v>224</v>
      </c>
      <c r="L146">
        <v>2500</v>
      </c>
      <c r="M146">
        <v>2</v>
      </c>
      <c r="N146">
        <v>1150</v>
      </c>
    </row>
    <row r="147" spans="1:14" x14ac:dyDescent="0.25">
      <c r="A147" t="s">
        <v>175</v>
      </c>
      <c r="B147" t="s">
        <v>10</v>
      </c>
      <c r="C147" t="s">
        <v>42</v>
      </c>
      <c r="D147" t="s">
        <v>213</v>
      </c>
      <c r="E147" t="s">
        <v>219</v>
      </c>
      <c r="F147" s="1">
        <v>18000000</v>
      </c>
      <c r="G147">
        <v>90</v>
      </c>
      <c r="H147" t="s">
        <v>227</v>
      </c>
      <c r="I147">
        <v>250</v>
      </c>
      <c r="J147" t="s">
        <v>230</v>
      </c>
      <c r="K147" t="s">
        <v>221</v>
      </c>
      <c r="L147">
        <v>420</v>
      </c>
      <c r="M147">
        <v>4</v>
      </c>
      <c r="N147">
        <v>38</v>
      </c>
    </row>
    <row r="148" spans="1:14" x14ac:dyDescent="0.25">
      <c r="A148" t="s">
        <v>176</v>
      </c>
      <c r="B148" t="s">
        <v>7</v>
      </c>
      <c r="C148" t="s">
        <v>8</v>
      </c>
      <c r="D148" t="s">
        <v>214</v>
      </c>
      <c r="E148" t="s">
        <v>220</v>
      </c>
      <c r="F148" s="1">
        <v>6700000</v>
      </c>
      <c r="G148">
        <v>500</v>
      </c>
      <c r="H148" t="s">
        <v>224</v>
      </c>
      <c r="I148">
        <v>1000</v>
      </c>
      <c r="J148" t="s">
        <v>221</v>
      </c>
      <c r="K148" t="s">
        <v>221</v>
      </c>
      <c r="L148">
        <v>800</v>
      </c>
      <c r="M148">
        <v>5</v>
      </c>
      <c r="N148">
        <v>90</v>
      </c>
    </row>
    <row r="149" spans="1:14" x14ac:dyDescent="0.25">
      <c r="A149" t="s">
        <v>177</v>
      </c>
      <c r="B149" t="s">
        <v>10</v>
      </c>
      <c r="C149" t="s">
        <v>42</v>
      </c>
      <c r="D149" t="s">
        <v>213</v>
      </c>
      <c r="E149" t="s">
        <v>219</v>
      </c>
      <c r="F149" s="1">
        <v>8600000</v>
      </c>
      <c r="G149">
        <v>60</v>
      </c>
      <c r="H149" t="s">
        <v>227</v>
      </c>
      <c r="I149">
        <v>170</v>
      </c>
      <c r="J149" t="s">
        <v>230</v>
      </c>
      <c r="K149" t="s">
        <v>230</v>
      </c>
      <c r="L149">
        <v>200</v>
      </c>
      <c r="M149">
        <v>8</v>
      </c>
      <c r="N149">
        <v>8</v>
      </c>
    </row>
    <row r="150" spans="1:14" x14ac:dyDescent="0.25">
      <c r="A150" t="s">
        <v>178</v>
      </c>
      <c r="B150" t="s">
        <v>4</v>
      </c>
      <c r="C150" t="s">
        <v>51</v>
      </c>
      <c r="D150" t="s">
        <v>215</v>
      </c>
      <c r="E150" t="s">
        <v>221</v>
      </c>
      <c r="F150" s="1">
        <v>5900000</v>
      </c>
      <c r="G150">
        <v>1800</v>
      </c>
      <c r="H150" t="s">
        <v>228</v>
      </c>
      <c r="I150">
        <v>5500</v>
      </c>
      <c r="J150" t="s">
        <v>228</v>
      </c>
      <c r="K150" t="s">
        <v>228</v>
      </c>
      <c r="L150">
        <v>3500</v>
      </c>
      <c r="M150">
        <v>3</v>
      </c>
      <c r="N150">
        <v>540</v>
      </c>
    </row>
    <row r="151" spans="1:14" x14ac:dyDescent="0.25">
      <c r="A151" t="s">
        <v>179</v>
      </c>
      <c r="B151" t="s">
        <v>7</v>
      </c>
      <c r="C151" t="s">
        <v>37</v>
      </c>
      <c r="D151" t="s">
        <v>215</v>
      </c>
      <c r="E151" t="s">
        <v>221</v>
      </c>
      <c r="F151" s="1">
        <v>5400000</v>
      </c>
      <c r="G151">
        <v>900</v>
      </c>
      <c r="H151" t="s">
        <v>220</v>
      </c>
      <c r="I151">
        <v>2200</v>
      </c>
      <c r="J151" t="s">
        <v>224</v>
      </c>
      <c r="K151" t="s">
        <v>224</v>
      </c>
      <c r="L151">
        <v>1600</v>
      </c>
      <c r="M151">
        <v>4</v>
      </c>
      <c r="N151">
        <v>155</v>
      </c>
    </row>
    <row r="152" spans="1:14" x14ac:dyDescent="0.25">
      <c r="A152" t="s">
        <v>180</v>
      </c>
      <c r="B152" t="s">
        <v>7</v>
      </c>
      <c r="C152" t="s">
        <v>8</v>
      </c>
      <c r="D152" t="s">
        <v>215</v>
      </c>
      <c r="E152" t="s">
        <v>221</v>
      </c>
      <c r="F152" s="1">
        <v>2100000</v>
      </c>
      <c r="G152">
        <v>1100</v>
      </c>
      <c r="H152" t="s">
        <v>220</v>
      </c>
      <c r="I152">
        <v>2400</v>
      </c>
      <c r="J152" t="s">
        <v>224</v>
      </c>
      <c r="K152" t="s">
        <v>220</v>
      </c>
      <c r="L152">
        <v>1800</v>
      </c>
      <c r="M152">
        <v>3</v>
      </c>
      <c r="N152">
        <v>78</v>
      </c>
    </row>
    <row r="153" spans="1:14" x14ac:dyDescent="0.25">
      <c r="A153" t="s">
        <v>181</v>
      </c>
      <c r="B153" t="s">
        <v>10</v>
      </c>
      <c r="C153" t="s">
        <v>56</v>
      </c>
      <c r="D153" t="s">
        <v>213</v>
      </c>
      <c r="E153" t="s">
        <v>219</v>
      </c>
      <c r="F153" s="1">
        <v>18000000</v>
      </c>
      <c r="G153">
        <v>0</v>
      </c>
      <c r="H153" t="s">
        <v>227</v>
      </c>
      <c r="I153">
        <v>0</v>
      </c>
      <c r="J153" t="s">
        <v>230</v>
      </c>
      <c r="K153" t="s">
        <v>230</v>
      </c>
      <c r="L153">
        <v>180</v>
      </c>
      <c r="M153">
        <v>6</v>
      </c>
      <c r="N153">
        <v>10</v>
      </c>
    </row>
    <row r="154" spans="1:14" x14ac:dyDescent="0.25">
      <c r="A154" t="s">
        <v>182</v>
      </c>
      <c r="B154" t="s">
        <v>10</v>
      </c>
      <c r="C154" t="s">
        <v>48</v>
      </c>
      <c r="D154" t="s">
        <v>216</v>
      </c>
      <c r="E154" t="s">
        <v>222</v>
      </c>
      <c r="F154" s="1">
        <v>60000000</v>
      </c>
      <c r="G154">
        <v>250</v>
      </c>
      <c r="H154" t="s">
        <v>224</v>
      </c>
      <c r="I154">
        <v>900</v>
      </c>
      <c r="J154" t="s">
        <v>221</v>
      </c>
      <c r="K154" t="s">
        <v>224</v>
      </c>
      <c r="L154">
        <v>900</v>
      </c>
      <c r="M154">
        <v>5</v>
      </c>
      <c r="N154">
        <v>450</v>
      </c>
    </row>
    <row r="155" spans="1:14" x14ac:dyDescent="0.25">
      <c r="A155" t="s">
        <v>183</v>
      </c>
      <c r="B155" t="s">
        <v>7</v>
      </c>
      <c r="C155" t="s">
        <v>8</v>
      </c>
      <c r="D155" t="s">
        <v>215</v>
      </c>
      <c r="E155" t="s">
        <v>221</v>
      </c>
      <c r="F155" s="1">
        <v>48000000</v>
      </c>
      <c r="G155">
        <v>1200</v>
      </c>
      <c r="H155" t="s">
        <v>228</v>
      </c>
      <c r="I155">
        <v>2700</v>
      </c>
      <c r="J155" t="s">
        <v>228</v>
      </c>
      <c r="K155" t="s">
        <v>220</v>
      </c>
      <c r="L155">
        <v>2200</v>
      </c>
      <c r="M155">
        <v>3</v>
      </c>
      <c r="N155">
        <v>1750</v>
      </c>
    </row>
    <row r="156" spans="1:14" x14ac:dyDescent="0.25">
      <c r="A156" t="s">
        <v>184</v>
      </c>
      <c r="B156" t="s">
        <v>4</v>
      </c>
      <c r="C156" t="s">
        <v>5</v>
      </c>
      <c r="D156" t="s">
        <v>214</v>
      </c>
      <c r="E156" t="s">
        <v>220</v>
      </c>
      <c r="F156" s="1">
        <v>22000000</v>
      </c>
      <c r="G156">
        <v>120</v>
      </c>
      <c r="H156" t="s">
        <v>221</v>
      </c>
      <c r="I156">
        <v>360</v>
      </c>
      <c r="J156" t="s">
        <v>230</v>
      </c>
      <c r="K156" t="s">
        <v>221</v>
      </c>
      <c r="L156">
        <v>320</v>
      </c>
      <c r="M156">
        <v>8</v>
      </c>
      <c r="N156">
        <v>90</v>
      </c>
    </row>
    <row r="157" spans="1:14" x14ac:dyDescent="0.25">
      <c r="A157" t="s">
        <v>185</v>
      </c>
      <c r="B157" t="s">
        <v>10</v>
      </c>
      <c r="C157" t="s">
        <v>11</v>
      </c>
      <c r="D157" t="s">
        <v>213</v>
      </c>
      <c r="E157" t="s">
        <v>219</v>
      </c>
      <c r="F157" s="1">
        <v>49000000</v>
      </c>
      <c r="G157">
        <v>40</v>
      </c>
      <c r="H157" t="s">
        <v>227</v>
      </c>
      <c r="I157">
        <v>110</v>
      </c>
      <c r="J157" t="s">
        <v>230</v>
      </c>
      <c r="K157" t="s">
        <v>230</v>
      </c>
      <c r="L157">
        <v>200</v>
      </c>
      <c r="M157">
        <v>80</v>
      </c>
      <c r="N157">
        <v>60</v>
      </c>
    </row>
    <row r="158" spans="1:14" x14ac:dyDescent="0.25">
      <c r="A158" t="s">
        <v>186</v>
      </c>
      <c r="B158" t="s">
        <v>23</v>
      </c>
      <c r="C158" t="s">
        <v>23</v>
      </c>
      <c r="D158" t="s">
        <v>214</v>
      </c>
      <c r="E158" t="s">
        <v>220</v>
      </c>
      <c r="F158" s="1">
        <v>600000</v>
      </c>
      <c r="G158">
        <v>300</v>
      </c>
      <c r="H158" t="s">
        <v>221</v>
      </c>
      <c r="I158">
        <v>720</v>
      </c>
      <c r="J158" t="s">
        <v>221</v>
      </c>
      <c r="K158" t="s">
        <v>221</v>
      </c>
      <c r="L158">
        <v>650</v>
      </c>
      <c r="M158">
        <v>6</v>
      </c>
      <c r="N158">
        <v>9</v>
      </c>
    </row>
    <row r="159" spans="1:14" x14ac:dyDescent="0.25">
      <c r="A159" t="s">
        <v>187</v>
      </c>
      <c r="B159" t="s">
        <v>7</v>
      </c>
      <c r="C159" t="s">
        <v>80</v>
      </c>
      <c r="D159" t="s">
        <v>215</v>
      </c>
      <c r="E159" t="s">
        <v>221</v>
      </c>
      <c r="F159" s="1">
        <v>10500000</v>
      </c>
      <c r="G159">
        <v>0</v>
      </c>
      <c r="H159" t="s">
        <v>228</v>
      </c>
      <c r="I159">
        <v>5200</v>
      </c>
      <c r="J159" t="s">
        <v>228</v>
      </c>
      <c r="K159" t="s">
        <v>228</v>
      </c>
      <c r="L159">
        <v>3200</v>
      </c>
      <c r="M159">
        <v>3</v>
      </c>
      <c r="N159">
        <v>670</v>
      </c>
    </row>
    <row r="160" spans="1:14" x14ac:dyDescent="0.25">
      <c r="A160" t="s">
        <v>188</v>
      </c>
      <c r="B160" t="s">
        <v>7</v>
      </c>
      <c r="C160" t="s">
        <v>30</v>
      </c>
      <c r="D160" t="s">
        <v>215</v>
      </c>
      <c r="E160" t="s">
        <v>221</v>
      </c>
      <c r="F160" s="1">
        <v>9000000</v>
      </c>
      <c r="G160">
        <v>0</v>
      </c>
      <c r="H160" t="s">
        <v>228</v>
      </c>
      <c r="I160">
        <v>6500</v>
      </c>
      <c r="J160" t="s">
        <v>228</v>
      </c>
      <c r="K160" t="s">
        <v>228</v>
      </c>
      <c r="L160">
        <v>4200</v>
      </c>
      <c r="M160">
        <v>2</v>
      </c>
      <c r="N160">
        <v>950</v>
      </c>
    </row>
    <row r="161" spans="1:14" x14ac:dyDescent="0.25">
      <c r="A161" t="s">
        <v>189</v>
      </c>
      <c r="B161" t="s">
        <v>4</v>
      </c>
      <c r="C161" t="s">
        <v>25</v>
      </c>
      <c r="D161" t="s">
        <v>213</v>
      </c>
      <c r="E161" t="s">
        <v>219</v>
      </c>
      <c r="F161" s="1">
        <v>24000000</v>
      </c>
      <c r="G161">
        <v>20</v>
      </c>
      <c r="H161" t="s">
        <v>227</v>
      </c>
      <c r="I161">
        <v>60</v>
      </c>
      <c r="J161" t="s">
        <v>230</v>
      </c>
      <c r="K161" t="s">
        <v>230</v>
      </c>
      <c r="L161">
        <v>180</v>
      </c>
      <c r="M161">
        <v>50</v>
      </c>
      <c r="N161">
        <v>25</v>
      </c>
    </row>
    <row r="162" spans="1:14" x14ac:dyDescent="0.25">
      <c r="A162" t="s">
        <v>190</v>
      </c>
      <c r="B162" t="s">
        <v>4</v>
      </c>
      <c r="C162" t="s">
        <v>67</v>
      </c>
      <c r="D162" t="s">
        <v>215</v>
      </c>
      <c r="E162" t="s">
        <v>221</v>
      </c>
      <c r="F162" s="1">
        <v>23000000</v>
      </c>
      <c r="G162">
        <v>900</v>
      </c>
      <c r="H162" t="s">
        <v>220</v>
      </c>
      <c r="I162">
        <v>3000</v>
      </c>
      <c r="J162" t="s">
        <v>220</v>
      </c>
      <c r="K162" t="s">
        <v>220</v>
      </c>
      <c r="L162">
        <v>2200</v>
      </c>
      <c r="M162">
        <v>3</v>
      </c>
      <c r="N162">
        <v>860</v>
      </c>
    </row>
    <row r="163" spans="1:14" x14ac:dyDescent="0.25">
      <c r="A163" t="s">
        <v>191</v>
      </c>
      <c r="B163" t="s">
        <v>10</v>
      </c>
      <c r="C163" t="s">
        <v>56</v>
      </c>
      <c r="D163" t="s">
        <v>213</v>
      </c>
      <c r="E163" t="s">
        <v>219</v>
      </c>
      <c r="F163" s="1">
        <v>67000000</v>
      </c>
      <c r="G163">
        <v>70</v>
      </c>
      <c r="H163" t="s">
        <v>227</v>
      </c>
      <c r="I163">
        <v>220</v>
      </c>
      <c r="J163" t="s">
        <v>230</v>
      </c>
      <c r="K163" t="s">
        <v>230</v>
      </c>
      <c r="L163">
        <v>250</v>
      </c>
      <c r="M163">
        <v>5</v>
      </c>
      <c r="N163">
        <v>95</v>
      </c>
    </row>
    <row r="164" spans="1:14" x14ac:dyDescent="0.25">
      <c r="A164" t="s">
        <v>192</v>
      </c>
      <c r="B164" t="s">
        <v>4</v>
      </c>
      <c r="C164" t="s">
        <v>51</v>
      </c>
      <c r="D164" t="s">
        <v>216</v>
      </c>
      <c r="E164" t="s">
        <v>222</v>
      </c>
      <c r="F164" s="1">
        <v>71000000</v>
      </c>
      <c r="G164">
        <v>250</v>
      </c>
      <c r="H164" t="s">
        <v>221</v>
      </c>
      <c r="I164">
        <v>720</v>
      </c>
      <c r="J164" t="s">
        <v>221</v>
      </c>
      <c r="K164" t="s">
        <v>221</v>
      </c>
      <c r="L164">
        <v>650</v>
      </c>
      <c r="M164">
        <v>2</v>
      </c>
      <c r="N164">
        <v>620</v>
      </c>
    </row>
    <row r="165" spans="1:14" x14ac:dyDescent="0.25">
      <c r="A165" t="s">
        <v>193</v>
      </c>
      <c r="B165" t="s">
        <v>10</v>
      </c>
      <c r="C165" t="s">
        <v>42</v>
      </c>
      <c r="D165" t="s">
        <v>213</v>
      </c>
      <c r="E165" t="s">
        <v>219</v>
      </c>
      <c r="F165" s="1">
        <v>9000000</v>
      </c>
      <c r="G165">
        <v>60</v>
      </c>
      <c r="H165" t="s">
        <v>227</v>
      </c>
      <c r="I165">
        <v>160</v>
      </c>
      <c r="J165" t="s">
        <v>230</v>
      </c>
      <c r="K165" t="s">
        <v>230</v>
      </c>
      <c r="L165">
        <v>220</v>
      </c>
      <c r="M165">
        <v>4</v>
      </c>
      <c r="N165">
        <v>16</v>
      </c>
    </row>
    <row r="166" spans="1:14" x14ac:dyDescent="0.25">
      <c r="A166" t="s">
        <v>194</v>
      </c>
      <c r="B166" t="s">
        <v>19</v>
      </c>
      <c r="C166" t="s">
        <v>20</v>
      </c>
      <c r="D166" t="s">
        <v>216</v>
      </c>
      <c r="E166" t="s">
        <v>222</v>
      </c>
      <c r="F166" s="1">
        <v>1500000</v>
      </c>
      <c r="G166">
        <v>700</v>
      </c>
      <c r="H166" t="s">
        <v>220</v>
      </c>
      <c r="I166">
        <v>1800</v>
      </c>
      <c r="J166" t="s">
        <v>224</v>
      </c>
      <c r="K166" t="s">
        <v>220</v>
      </c>
      <c r="L166">
        <v>1800</v>
      </c>
      <c r="M166">
        <v>4</v>
      </c>
      <c r="N166">
        <v>26</v>
      </c>
    </row>
    <row r="167" spans="1:14" x14ac:dyDescent="0.25">
      <c r="A167" t="s">
        <v>195</v>
      </c>
      <c r="B167" t="s">
        <v>10</v>
      </c>
      <c r="C167" t="s">
        <v>11</v>
      </c>
      <c r="D167" t="s">
        <v>214</v>
      </c>
      <c r="E167" t="s">
        <v>220</v>
      </c>
      <c r="F167" s="1">
        <v>12000000</v>
      </c>
      <c r="G167">
        <v>250</v>
      </c>
      <c r="H167" t="s">
        <v>221</v>
      </c>
      <c r="I167">
        <v>640</v>
      </c>
      <c r="J167" t="s">
        <v>230</v>
      </c>
      <c r="K167" t="s">
        <v>221</v>
      </c>
      <c r="L167">
        <v>500</v>
      </c>
      <c r="M167">
        <v>4</v>
      </c>
      <c r="N167">
        <v>60</v>
      </c>
    </row>
    <row r="168" spans="1:14" x14ac:dyDescent="0.25">
      <c r="A168" t="s">
        <v>196</v>
      </c>
      <c r="B168" t="s">
        <v>4</v>
      </c>
      <c r="C168" t="s">
        <v>25</v>
      </c>
      <c r="D168" t="s">
        <v>216</v>
      </c>
      <c r="E168" t="s">
        <v>222</v>
      </c>
      <c r="F168" s="1">
        <v>86000000</v>
      </c>
      <c r="G168">
        <v>600</v>
      </c>
      <c r="H168" t="s">
        <v>224</v>
      </c>
      <c r="I168">
        <v>1350</v>
      </c>
      <c r="J168" t="s">
        <v>221</v>
      </c>
      <c r="K168" t="s">
        <v>224</v>
      </c>
      <c r="L168">
        <v>900</v>
      </c>
      <c r="M168">
        <v>38</v>
      </c>
      <c r="N168">
        <v>1150</v>
      </c>
    </row>
    <row r="169" spans="1:14" x14ac:dyDescent="0.25">
      <c r="A169" t="s">
        <v>197</v>
      </c>
      <c r="B169" t="s">
        <v>4</v>
      </c>
      <c r="C169" t="s">
        <v>124</v>
      </c>
      <c r="D169" t="s">
        <v>214</v>
      </c>
      <c r="E169" t="s">
        <v>220</v>
      </c>
      <c r="F169" s="1">
        <v>7000000</v>
      </c>
      <c r="G169">
        <v>200</v>
      </c>
      <c r="H169" t="s">
        <v>227</v>
      </c>
      <c r="I169">
        <v>480</v>
      </c>
      <c r="J169" t="s">
        <v>230</v>
      </c>
      <c r="K169" t="s">
        <v>230</v>
      </c>
      <c r="L169">
        <v>300</v>
      </c>
      <c r="M169">
        <v>5</v>
      </c>
      <c r="N169">
        <v>65</v>
      </c>
    </row>
    <row r="170" spans="1:14" x14ac:dyDescent="0.25">
      <c r="A170" t="s">
        <v>198</v>
      </c>
      <c r="B170" t="s">
        <v>10</v>
      </c>
      <c r="C170" t="s">
        <v>56</v>
      </c>
      <c r="D170" t="s">
        <v>213</v>
      </c>
      <c r="E170" t="s">
        <v>219</v>
      </c>
      <c r="F170" s="1">
        <v>50000000</v>
      </c>
      <c r="G170">
        <v>60</v>
      </c>
      <c r="H170" t="s">
        <v>227</v>
      </c>
      <c r="I170">
        <v>220</v>
      </c>
      <c r="J170" t="s">
        <v>230</v>
      </c>
      <c r="K170" t="s">
        <v>230</v>
      </c>
      <c r="L170">
        <v>220</v>
      </c>
      <c r="M170">
        <v>5</v>
      </c>
      <c r="N170">
        <v>85</v>
      </c>
    </row>
    <row r="171" spans="1:14" x14ac:dyDescent="0.25">
      <c r="A171" t="s">
        <v>199</v>
      </c>
      <c r="B171" t="s">
        <v>7</v>
      </c>
      <c r="C171" t="s">
        <v>37</v>
      </c>
      <c r="D171" t="s">
        <v>214</v>
      </c>
      <c r="E171" t="s">
        <v>220</v>
      </c>
      <c r="F171" s="1">
        <v>36000000</v>
      </c>
      <c r="G171">
        <v>200</v>
      </c>
      <c r="H171" t="s">
        <v>221</v>
      </c>
      <c r="I171">
        <v>560</v>
      </c>
      <c r="J171" t="s">
        <v>230</v>
      </c>
      <c r="K171" t="s">
        <v>221</v>
      </c>
      <c r="L171">
        <v>450</v>
      </c>
      <c r="M171">
        <v>7</v>
      </c>
      <c r="N171">
        <v>240</v>
      </c>
    </row>
    <row r="172" spans="1:14" x14ac:dyDescent="0.25">
      <c r="A172" t="s">
        <v>200</v>
      </c>
      <c r="B172" t="s">
        <v>4</v>
      </c>
      <c r="C172" t="s">
        <v>25</v>
      </c>
      <c r="D172" t="s">
        <v>215</v>
      </c>
      <c r="E172" t="s">
        <v>221</v>
      </c>
      <c r="F172" s="1">
        <v>10000000</v>
      </c>
      <c r="G172">
        <v>1500</v>
      </c>
      <c r="H172" t="s">
        <v>228</v>
      </c>
      <c r="I172">
        <v>5000</v>
      </c>
      <c r="J172" t="s">
        <v>228</v>
      </c>
      <c r="K172" t="s">
        <v>220</v>
      </c>
      <c r="L172">
        <v>2800</v>
      </c>
      <c r="M172">
        <v>2</v>
      </c>
      <c r="N172">
        <v>610</v>
      </c>
    </row>
    <row r="173" spans="1:14" x14ac:dyDescent="0.25">
      <c r="A173" t="s">
        <v>201</v>
      </c>
      <c r="B173" t="s">
        <v>7</v>
      </c>
      <c r="C173" t="s">
        <v>80</v>
      </c>
      <c r="D173" t="s">
        <v>215</v>
      </c>
      <c r="E173" t="s">
        <v>221</v>
      </c>
      <c r="F173" s="1">
        <v>68000000</v>
      </c>
      <c r="G173">
        <v>2000</v>
      </c>
      <c r="H173" t="s">
        <v>228</v>
      </c>
      <c r="I173">
        <v>4700</v>
      </c>
      <c r="J173" t="s">
        <v>228</v>
      </c>
      <c r="K173" t="s">
        <v>228</v>
      </c>
      <c r="L173">
        <v>3200</v>
      </c>
      <c r="M173">
        <v>3</v>
      </c>
      <c r="N173">
        <v>3100</v>
      </c>
    </row>
    <row r="174" spans="1:14" x14ac:dyDescent="0.25">
      <c r="A174" t="s">
        <v>202</v>
      </c>
      <c r="B174" t="s">
        <v>19</v>
      </c>
      <c r="C174" t="s">
        <v>60</v>
      </c>
      <c r="D174" t="s">
        <v>215</v>
      </c>
      <c r="E174" t="s">
        <v>221</v>
      </c>
      <c r="F174" s="1">
        <v>340000000</v>
      </c>
      <c r="G174">
        <v>1250</v>
      </c>
      <c r="H174" t="s">
        <v>228</v>
      </c>
      <c r="I174">
        <v>5000</v>
      </c>
      <c r="J174" t="s">
        <v>228</v>
      </c>
      <c r="K174" t="s">
        <v>228</v>
      </c>
      <c r="L174">
        <v>3500</v>
      </c>
      <c r="M174">
        <v>3</v>
      </c>
      <c r="N174">
        <v>29000</v>
      </c>
    </row>
    <row r="175" spans="1:14" x14ac:dyDescent="0.25">
      <c r="A175" t="s">
        <v>203</v>
      </c>
      <c r="B175" t="s">
        <v>23</v>
      </c>
      <c r="C175" t="s">
        <v>23</v>
      </c>
      <c r="D175" t="s">
        <v>215</v>
      </c>
      <c r="E175" t="s">
        <v>221</v>
      </c>
      <c r="F175" s="1">
        <v>3500000</v>
      </c>
      <c r="G175">
        <v>600</v>
      </c>
      <c r="H175" t="s">
        <v>224</v>
      </c>
      <c r="I175">
        <v>1500</v>
      </c>
      <c r="J175" t="s">
        <v>224</v>
      </c>
      <c r="K175" t="s">
        <v>220</v>
      </c>
      <c r="L175">
        <v>1600</v>
      </c>
      <c r="M175">
        <v>4</v>
      </c>
      <c r="N175">
        <v>90</v>
      </c>
    </row>
    <row r="176" spans="1:14" x14ac:dyDescent="0.25">
      <c r="A176" t="s">
        <v>204</v>
      </c>
      <c r="B176" t="s">
        <v>4</v>
      </c>
      <c r="C176" t="s">
        <v>124</v>
      </c>
      <c r="D176" t="s">
        <v>214</v>
      </c>
      <c r="E176" t="s">
        <v>220</v>
      </c>
      <c r="F176" s="1">
        <v>36000000</v>
      </c>
      <c r="G176">
        <v>120</v>
      </c>
      <c r="H176" t="s">
        <v>221</v>
      </c>
      <c r="I176">
        <v>360</v>
      </c>
      <c r="J176" t="s">
        <v>230</v>
      </c>
      <c r="K176" t="s">
        <v>230</v>
      </c>
      <c r="L176">
        <v>320</v>
      </c>
      <c r="M176">
        <v>6</v>
      </c>
      <c r="N176">
        <v>130</v>
      </c>
    </row>
    <row r="177" spans="1:14" x14ac:dyDescent="0.25">
      <c r="A177" t="s">
        <v>205</v>
      </c>
      <c r="B177" t="s">
        <v>23</v>
      </c>
      <c r="C177" t="s">
        <v>23</v>
      </c>
      <c r="D177" t="s">
        <v>214</v>
      </c>
      <c r="E177" t="s">
        <v>220</v>
      </c>
      <c r="F177" s="1">
        <v>28000000</v>
      </c>
      <c r="G177">
        <v>5</v>
      </c>
      <c r="H177" t="s">
        <v>227</v>
      </c>
      <c r="I177">
        <v>30</v>
      </c>
      <c r="J177" t="s">
        <v>230</v>
      </c>
      <c r="K177" t="s">
        <v>230</v>
      </c>
      <c r="L177">
        <v>250</v>
      </c>
      <c r="M177">
        <v>200</v>
      </c>
      <c r="N177">
        <v>130</v>
      </c>
    </row>
    <row r="178" spans="1:14" x14ac:dyDescent="0.25">
      <c r="A178" t="s">
        <v>206</v>
      </c>
      <c r="B178" t="s">
        <v>4</v>
      </c>
      <c r="C178" t="s">
        <v>51</v>
      </c>
      <c r="D178" t="s">
        <v>214</v>
      </c>
      <c r="E178" t="s">
        <v>220</v>
      </c>
      <c r="F178" s="1">
        <v>100000000</v>
      </c>
      <c r="G178">
        <v>180</v>
      </c>
      <c r="H178" t="s">
        <v>221</v>
      </c>
      <c r="I178">
        <v>560</v>
      </c>
      <c r="J178" t="s">
        <v>230</v>
      </c>
      <c r="K178" t="s">
        <v>221</v>
      </c>
      <c r="L178">
        <v>450</v>
      </c>
      <c r="M178">
        <v>4</v>
      </c>
      <c r="N178">
        <v>550</v>
      </c>
    </row>
    <row r="179" spans="1:14" x14ac:dyDescent="0.25">
      <c r="A179" t="s">
        <v>207</v>
      </c>
      <c r="B179" t="s">
        <v>4</v>
      </c>
      <c r="C179" t="s">
        <v>25</v>
      </c>
      <c r="D179" t="s">
        <v>213</v>
      </c>
      <c r="E179" t="s">
        <v>219</v>
      </c>
      <c r="F179" s="1">
        <v>5000000</v>
      </c>
      <c r="G179">
        <v>400</v>
      </c>
      <c r="H179" t="s">
        <v>224</v>
      </c>
      <c r="I179">
        <v>720</v>
      </c>
      <c r="J179" t="s">
        <v>221</v>
      </c>
      <c r="K179" t="s">
        <v>221</v>
      </c>
      <c r="L179">
        <v>600</v>
      </c>
      <c r="M179">
        <v>4</v>
      </c>
      <c r="N179">
        <v>18</v>
      </c>
    </row>
    <row r="180" spans="1:14" x14ac:dyDescent="0.25">
      <c r="A180" t="s">
        <v>208</v>
      </c>
      <c r="B180" t="s">
        <v>10</v>
      </c>
      <c r="C180" t="s">
        <v>11</v>
      </c>
      <c r="D180" t="s">
        <v>213</v>
      </c>
      <c r="E180" t="s">
        <v>219</v>
      </c>
      <c r="F180" s="1">
        <v>600000</v>
      </c>
      <c r="G180">
        <v>0</v>
      </c>
      <c r="H180" t="s">
        <v>227</v>
      </c>
      <c r="I180">
        <v>0</v>
      </c>
      <c r="J180" t="s">
        <v>230</v>
      </c>
      <c r="K180" t="s">
        <v>230</v>
      </c>
      <c r="L180">
        <v>200</v>
      </c>
      <c r="M180">
        <v>4</v>
      </c>
      <c r="N180">
        <v>3</v>
      </c>
    </row>
    <row r="181" spans="1:14" x14ac:dyDescent="0.25">
      <c r="A181" t="s">
        <v>209</v>
      </c>
      <c r="B181" t="s">
        <v>4</v>
      </c>
      <c r="C181" t="s">
        <v>25</v>
      </c>
      <c r="D181" t="s">
        <v>213</v>
      </c>
      <c r="E181" t="s">
        <v>219</v>
      </c>
      <c r="F181" s="1">
        <v>34000000</v>
      </c>
      <c r="G181">
        <v>30</v>
      </c>
      <c r="H181" t="s">
        <v>227</v>
      </c>
      <c r="I181">
        <v>90</v>
      </c>
      <c r="J181" t="s">
        <v>230</v>
      </c>
      <c r="K181" t="s">
        <v>230</v>
      </c>
      <c r="L181">
        <v>180</v>
      </c>
      <c r="M181">
        <v>30</v>
      </c>
      <c r="N181">
        <v>28</v>
      </c>
    </row>
    <row r="182" spans="1:14" x14ac:dyDescent="0.25">
      <c r="A182" t="s">
        <v>210</v>
      </c>
      <c r="B182" t="s">
        <v>10</v>
      </c>
      <c r="C182" t="s">
        <v>48</v>
      </c>
      <c r="D182" t="s">
        <v>213</v>
      </c>
      <c r="E182" t="s">
        <v>219</v>
      </c>
      <c r="F182" s="1">
        <v>21000000</v>
      </c>
      <c r="G182">
        <v>80</v>
      </c>
      <c r="H182" t="s">
        <v>227</v>
      </c>
      <c r="I182">
        <v>240</v>
      </c>
      <c r="J182" t="s">
        <v>230</v>
      </c>
      <c r="K182" t="s">
        <v>230</v>
      </c>
      <c r="L182">
        <v>300</v>
      </c>
      <c r="M182">
        <v>8</v>
      </c>
      <c r="N182">
        <v>38</v>
      </c>
    </row>
    <row r="183" spans="1:14" x14ac:dyDescent="0.25">
      <c r="A183" t="s">
        <v>211</v>
      </c>
      <c r="B183" t="s">
        <v>10</v>
      </c>
      <c r="C183" t="s">
        <v>48</v>
      </c>
      <c r="D183" t="s">
        <v>213</v>
      </c>
      <c r="E183" t="s">
        <v>219</v>
      </c>
      <c r="F183" s="1">
        <v>17000000</v>
      </c>
      <c r="G183">
        <v>100</v>
      </c>
      <c r="H183" t="s">
        <v>227</v>
      </c>
      <c r="I183">
        <v>280</v>
      </c>
      <c r="J183" t="s">
        <v>230</v>
      </c>
      <c r="K183" t="s">
        <v>230</v>
      </c>
      <c r="L183">
        <v>250</v>
      </c>
      <c r="M183">
        <v>90</v>
      </c>
      <c r="N183">
        <v>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7"/>
  </sheetPr>
  <dimension ref="A1:N183"/>
  <sheetViews>
    <sheetView workbookViewId="0">
      <selection activeCell="C16" sqref="C16"/>
    </sheetView>
  </sheetViews>
  <sheetFormatPr defaultRowHeight="15" x14ac:dyDescent="0.25"/>
  <cols>
    <col min="1" max="1" width="37.42578125" style="2" bestFit="1" customWidth="1"/>
    <col min="2" max="2" width="19.42578125" style="2" bestFit="1" customWidth="1"/>
    <col min="3" max="3" width="32" style="2" bestFit="1" customWidth="1"/>
    <col min="4" max="4" width="27.28515625" style="2" bestFit="1" customWidth="1"/>
    <col min="5" max="5" width="27.7109375" style="2" bestFit="1" customWidth="1"/>
    <col min="6" max="6" width="19.42578125" style="1" bestFit="1" customWidth="1"/>
    <col min="7" max="7" width="19.5703125" style="3" bestFit="1" customWidth="1"/>
    <col min="8" max="8" width="31.140625" style="2" bestFit="1" customWidth="1"/>
    <col min="9" max="9" width="39.5703125" style="3" bestFit="1" customWidth="1"/>
    <col min="10" max="10" width="29.5703125" style="2" bestFit="1" customWidth="1"/>
    <col min="11" max="11" width="20.7109375" style="2" bestFit="1" customWidth="1"/>
    <col min="12" max="12" width="45.42578125" style="3" bestFit="1" customWidth="1"/>
    <col min="13" max="13" width="37" style="4" bestFit="1" customWidth="1"/>
    <col min="14" max="14" width="61.28515625" style="14" bestFit="1" customWidth="1"/>
  </cols>
  <sheetData>
    <row r="1" spans="1:14" ht="21" x14ac:dyDescent="0.25">
      <c r="A1" s="5" t="s">
        <v>0</v>
      </c>
      <c r="B1" s="5" t="s">
        <v>1</v>
      </c>
      <c r="C1" s="5" t="s">
        <v>2</v>
      </c>
      <c r="D1" s="5" t="s">
        <v>212</v>
      </c>
      <c r="E1" s="5" t="s">
        <v>218</v>
      </c>
      <c r="F1" s="6" t="s">
        <v>223</v>
      </c>
      <c r="G1" s="7" t="s">
        <v>225</v>
      </c>
      <c r="H1" s="5" t="s">
        <v>236</v>
      </c>
      <c r="I1" s="7" t="s">
        <v>229</v>
      </c>
      <c r="J1" s="5" t="s">
        <v>238</v>
      </c>
      <c r="K1" s="5" t="s">
        <v>240</v>
      </c>
      <c r="L1" s="7" t="s">
        <v>233</v>
      </c>
      <c r="M1" s="12" t="s">
        <v>234</v>
      </c>
      <c r="N1" s="16" t="s">
        <v>241</v>
      </c>
    </row>
    <row r="2" spans="1:14" ht="21" x14ac:dyDescent="0.25">
      <c r="A2" s="8" t="s">
        <v>3</v>
      </c>
      <c r="B2" s="8" t="s">
        <v>4</v>
      </c>
      <c r="C2" s="8" t="s">
        <v>5</v>
      </c>
      <c r="D2" s="8" t="s">
        <v>213</v>
      </c>
      <c r="E2" s="8" t="s">
        <v>219</v>
      </c>
      <c r="F2" s="9">
        <v>42000000</v>
      </c>
      <c r="G2" s="10">
        <v>50</v>
      </c>
      <c r="H2" s="8" t="s">
        <v>237</v>
      </c>
      <c r="I2" s="10">
        <v>90</v>
      </c>
      <c r="J2" s="8" t="s">
        <v>239</v>
      </c>
      <c r="K2" s="8" t="s">
        <v>239</v>
      </c>
      <c r="L2" s="10">
        <v>180</v>
      </c>
      <c r="M2" s="13">
        <v>10</v>
      </c>
      <c r="N2" s="10">
        <v>20000000000</v>
      </c>
    </row>
    <row r="3" spans="1:14" ht="21" x14ac:dyDescent="0.25">
      <c r="A3" s="8" t="s">
        <v>6</v>
      </c>
      <c r="B3" s="8" t="s">
        <v>7</v>
      </c>
      <c r="C3" s="8" t="s">
        <v>8</v>
      </c>
      <c r="D3" s="8" t="s">
        <v>214</v>
      </c>
      <c r="E3" s="8" t="s">
        <v>220</v>
      </c>
      <c r="F3" s="9">
        <v>2800000</v>
      </c>
      <c r="G3" s="10">
        <v>320</v>
      </c>
      <c r="H3" s="8" t="s">
        <v>224</v>
      </c>
      <c r="I3" s="10">
        <v>680</v>
      </c>
      <c r="J3" s="8" t="s">
        <v>221</v>
      </c>
      <c r="K3" s="8" t="s">
        <v>221</v>
      </c>
      <c r="L3" s="10">
        <v>520</v>
      </c>
      <c r="M3" s="13">
        <v>4</v>
      </c>
      <c r="N3" s="10">
        <v>28000000000</v>
      </c>
    </row>
    <row r="4" spans="1:14" ht="21" x14ac:dyDescent="0.25">
      <c r="A4" s="8" t="s">
        <v>9</v>
      </c>
      <c r="B4" s="8" t="s">
        <v>10</v>
      </c>
      <c r="C4" s="8" t="s">
        <v>11</v>
      </c>
      <c r="D4" s="8" t="s">
        <v>214</v>
      </c>
      <c r="E4" s="8" t="s">
        <v>220</v>
      </c>
      <c r="F4" s="9">
        <v>46000000</v>
      </c>
      <c r="G4" s="10">
        <v>150</v>
      </c>
      <c r="H4" s="8" t="s">
        <v>221</v>
      </c>
      <c r="I4" s="10">
        <v>520</v>
      </c>
      <c r="J4" s="8" t="s">
        <v>221</v>
      </c>
      <c r="K4" s="8" t="s">
        <v>221</v>
      </c>
      <c r="L4" s="10">
        <v>450</v>
      </c>
      <c r="M4" s="13">
        <v>5</v>
      </c>
      <c r="N4" s="10">
        <v>260000000000</v>
      </c>
    </row>
    <row r="5" spans="1:14" ht="21" x14ac:dyDescent="0.25">
      <c r="A5" s="8" t="s">
        <v>12</v>
      </c>
      <c r="B5" s="8" t="s">
        <v>13</v>
      </c>
      <c r="C5" s="8" t="s">
        <v>14</v>
      </c>
      <c r="D5" s="8" t="s">
        <v>214</v>
      </c>
      <c r="E5" s="8" t="s">
        <v>220</v>
      </c>
      <c r="F5" s="9">
        <v>50000</v>
      </c>
      <c r="G5" s="10">
        <v>1200</v>
      </c>
      <c r="H5" s="8" t="s">
        <v>220</v>
      </c>
      <c r="I5" s="10">
        <v>2900</v>
      </c>
      <c r="J5" s="8" t="s">
        <v>220</v>
      </c>
      <c r="K5" s="8" t="s">
        <v>220</v>
      </c>
      <c r="L5" s="10">
        <v>1800</v>
      </c>
      <c r="M5" s="13">
        <v>3</v>
      </c>
      <c r="N5" s="10">
        <v>1000000000</v>
      </c>
    </row>
    <row r="6" spans="1:14" ht="21" x14ac:dyDescent="0.25">
      <c r="A6" s="8" t="s">
        <v>15</v>
      </c>
      <c r="B6" s="8" t="s">
        <v>7</v>
      </c>
      <c r="C6" s="8" t="s">
        <v>8</v>
      </c>
      <c r="D6" s="8" t="s">
        <v>215</v>
      </c>
      <c r="E6" s="8" t="s">
        <v>221</v>
      </c>
      <c r="F6" s="9">
        <v>80000</v>
      </c>
      <c r="G6" s="10">
        <v>1600</v>
      </c>
      <c r="H6" s="8" t="s">
        <v>219</v>
      </c>
      <c r="I6" s="10">
        <v>3200</v>
      </c>
      <c r="J6" s="8" t="s">
        <v>220</v>
      </c>
      <c r="K6" s="8" t="s">
        <v>219</v>
      </c>
      <c r="L6" s="10">
        <v>2200</v>
      </c>
      <c r="M6" s="13">
        <v>3</v>
      </c>
      <c r="N6" s="10">
        <v>3000000000</v>
      </c>
    </row>
    <row r="7" spans="1:14" ht="21" x14ac:dyDescent="0.25">
      <c r="A7" s="8" t="s">
        <v>16</v>
      </c>
      <c r="B7" s="8" t="s">
        <v>10</v>
      </c>
      <c r="C7" s="8" t="s">
        <v>17</v>
      </c>
      <c r="D7" s="8" t="s">
        <v>213</v>
      </c>
      <c r="E7" s="8" t="s">
        <v>219</v>
      </c>
      <c r="F7" s="9">
        <v>36000000</v>
      </c>
      <c r="G7" s="10">
        <v>70</v>
      </c>
      <c r="H7" s="8" t="s">
        <v>237</v>
      </c>
      <c r="I7" s="10">
        <v>210</v>
      </c>
      <c r="J7" s="8" t="s">
        <v>239</v>
      </c>
      <c r="K7" s="8" t="s">
        <v>221</v>
      </c>
      <c r="L7" s="10">
        <v>500</v>
      </c>
      <c r="M7" s="13">
        <v>20</v>
      </c>
      <c r="N7" s="10">
        <v>115000000000</v>
      </c>
    </row>
    <row r="8" spans="1:14" ht="21" x14ac:dyDescent="0.25">
      <c r="A8" s="8" t="s">
        <v>18</v>
      </c>
      <c r="B8" s="8" t="s">
        <v>19</v>
      </c>
      <c r="C8" s="8" t="s">
        <v>20</v>
      </c>
      <c r="D8" s="8" t="s">
        <v>214</v>
      </c>
      <c r="E8" s="8" t="s">
        <v>220</v>
      </c>
      <c r="F8" s="9">
        <v>15000</v>
      </c>
      <c r="G8" s="10">
        <v>1000</v>
      </c>
      <c r="H8" s="8" t="s">
        <v>220</v>
      </c>
      <c r="I8" s="10">
        <v>2600</v>
      </c>
      <c r="J8" s="8" t="s">
        <v>220</v>
      </c>
      <c r="K8" s="8" t="s">
        <v>220</v>
      </c>
      <c r="L8" s="10">
        <v>2200</v>
      </c>
      <c r="M8" s="13">
        <v>3</v>
      </c>
      <c r="N8" s="10">
        <v>1000000000</v>
      </c>
    </row>
    <row r="9" spans="1:14" ht="21" x14ac:dyDescent="0.25">
      <c r="A9" s="8" t="s">
        <v>21</v>
      </c>
      <c r="B9" s="8" t="s">
        <v>19</v>
      </c>
      <c r="C9" s="8" t="s">
        <v>20</v>
      </c>
      <c r="D9" s="8" t="s">
        <v>216</v>
      </c>
      <c r="E9" s="8" t="s">
        <v>222</v>
      </c>
      <c r="F9" s="9">
        <v>100000</v>
      </c>
      <c r="G9" s="10">
        <v>600</v>
      </c>
      <c r="H9" s="8" t="s">
        <v>224</v>
      </c>
      <c r="I9" s="10">
        <v>1900</v>
      </c>
      <c r="J9" s="8" t="s">
        <v>224</v>
      </c>
      <c r="K9" s="8" t="s">
        <v>220</v>
      </c>
      <c r="L9" s="10">
        <v>2000</v>
      </c>
      <c r="M9" s="13">
        <v>4</v>
      </c>
      <c r="N9" s="10">
        <v>2000000000</v>
      </c>
    </row>
    <row r="10" spans="1:14" ht="21" x14ac:dyDescent="0.25">
      <c r="A10" s="8" t="s">
        <v>22</v>
      </c>
      <c r="B10" s="8" t="s">
        <v>23</v>
      </c>
      <c r="C10" s="8" t="s">
        <v>23</v>
      </c>
      <c r="D10" s="8" t="s">
        <v>216</v>
      </c>
      <c r="E10" s="8" t="s">
        <v>222</v>
      </c>
      <c r="F10" s="9">
        <v>46000000</v>
      </c>
      <c r="G10" s="10">
        <v>200</v>
      </c>
      <c r="H10" s="8" t="s">
        <v>221</v>
      </c>
      <c r="I10" s="10">
        <v>640</v>
      </c>
      <c r="J10" s="8" t="s">
        <v>221</v>
      </c>
      <c r="K10" s="8" t="s">
        <v>224</v>
      </c>
      <c r="L10" s="10">
        <v>650</v>
      </c>
      <c r="M10" s="13">
        <v>30</v>
      </c>
      <c r="N10" s="10">
        <v>620000000000</v>
      </c>
    </row>
    <row r="11" spans="1:14" ht="21" x14ac:dyDescent="0.25">
      <c r="A11" s="8" t="s">
        <v>24</v>
      </c>
      <c r="B11" s="8" t="s">
        <v>4</v>
      </c>
      <c r="C11" s="8" t="s">
        <v>25</v>
      </c>
      <c r="D11" s="8" t="s">
        <v>214</v>
      </c>
      <c r="E11" s="8" t="s">
        <v>220</v>
      </c>
      <c r="F11" s="9">
        <v>3000000</v>
      </c>
      <c r="G11" s="10">
        <v>300</v>
      </c>
      <c r="H11" s="8" t="s">
        <v>224</v>
      </c>
      <c r="I11" s="10">
        <v>720</v>
      </c>
      <c r="J11" s="8" t="s">
        <v>221</v>
      </c>
      <c r="K11" s="8" t="s">
        <v>221</v>
      </c>
      <c r="L11" s="10">
        <v>500</v>
      </c>
      <c r="M11" s="13">
        <v>4</v>
      </c>
      <c r="N11" s="10">
        <v>28000000000</v>
      </c>
    </row>
    <row r="12" spans="1:14" ht="21" x14ac:dyDescent="0.25">
      <c r="A12" s="8" t="s">
        <v>26</v>
      </c>
      <c r="B12" s="8" t="s">
        <v>19</v>
      </c>
      <c r="C12" s="8" t="s">
        <v>20</v>
      </c>
      <c r="D12" s="8" t="s">
        <v>216</v>
      </c>
      <c r="E12" s="8" t="s">
        <v>222</v>
      </c>
      <c r="F12" s="9">
        <v>110000</v>
      </c>
      <c r="G12" s="10">
        <v>900</v>
      </c>
      <c r="H12" s="8" t="s">
        <v>220</v>
      </c>
      <c r="I12" s="10">
        <v>2400</v>
      </c>
      <c r="J12" s="8" t="s">
        <v>220</v>
      </c>
      <c r="K12" s="8" t="s">
        <v>219</v>
      </c>
      <c r="L12" s="10">
        <v>2400</v>
      </c>
      <c r="M12" s="13">
        <v>4</v>
      </c>
      <c r="N12" s="10">
        <v>4000000000</v>
      </c>
    </row>
    <row r="13" spans="1:14" ht="21" x14ac:dyDescent="0.25">
      <c r="A13" s="8" t="s">
        <v>27</v>
      </c>
      <c r="B13" s="8" t="s">
        <v>13</v>
      </c>
      <c r="C13" s="8" t="s">
        <v>28</v>
      </c>
      <c r="D13" s="8" t="s">
        <v>215</v>
      </c>
      <c r="E13" s="8" t="s">
        <v>221</v>
      </c>
      <c r="F13" s="9">
        <v>26000000</v>
      </c>
      <c r="G13" s="10">
        <v>2600</v>
      </c>
      <c r="H13" s="8" t="s">
        <v>219</v>
      </c>
      <c r="I13" s="10">
        <v>5000</v>
      </c>
      <c r="J13" s="8" t="s">
        <v>219</v>
      </c>
      <c r="K13" s="8" t="s">
        <v>219</v>
      </c>
      <c r="L13" s="10">
        <v>2800</v>
      </c>
      <c r="M13" s="13">
        <v>3</v>
      </c>
      <c r="N13" s="10">
        <v>1800000000000</v>
      </c>
    </row>
    <row r="14" spans="1:14" ht="21" x14ac:dyDescent="0.25">
      <c r="A14" s="8" t="s">
        <v>29</v>
      </c>
      <c r="B14" s="8" t="s">
        <v>7</v>
      </c>
      <c r="C14" s="8" t="s">
        <v>30</v>
      </c>
      <c r="D14" s="8" t="s">
        <v>215</v>
      </c>
      <c r="E14" s="8" t="s">
        <v>221</v>
      </c>
      <c r="F14" s="9">
        <v>9000000</v>
      </c>
      <c r="G14" s="10">
        <v>0</v>
      </c>
      <c r="H14" s="8" t="s">
        <v>219</v>
      </c>
      <c r="I14" s="10">
        <v>4300</v>
      </c>
      <c r="J14" s="8" t="s">
        <v>220</v>
      </c>
      <c r="K14" s="8" t="s">
        <v>219</v>
      </c>
      <c r="L14" s="10">
        <v>2700</v>
      </c>
      <c r="M14" s="13">
        <v>3</v>
      </c>
      <c r="N14" s="10">
        <v>690000000000</v>
      </c>
    </row>
    <row r="15" spans="1:14" ht="21" x14ac:dyDescent="0.25">
      <c r="A15" s="8" t="s">
        <v>31</v>
      </c>
      <c r="B15" s="8" t="s">
        <v>4</v>
      </c>
      <c r="C15" s="8" t="s">
        <v>25</v>
      </c>
      <c r="D15" s="8" t="s">
        <v>214</v>
      </c>
      <c r="E15" s="8" t="s">
        <v>220</v>
      </c>
      <c r="F15" s="9">
        <v>10000000</v>
      </c>
      <c r="G15" s="10">
        <v>200</v>
      </c>
      <c r="H15" s="8" t="s">
        <v>221</v>
      </c>
      <c r="I15" s="10">
        <v>560</v>
      </c>
      <c r="J15" s="8" t="s">
        <v>221</v>
      </c>
      <c r="K15" s="8" t="s">
        <v>221</v>
      </c>
      <c r="L15" s="10">
        <v>420</v>
      </c>
      <c r="M15" s="13">
        <v>5</v>
      </c>
      <c r="N15" s="10">
        <v>85000000000</v>
      </c>
    </row>
    <row r="16" spans="1:14" ht="21" x14ac:dyDescent="0.25">
      <c r="A16" s="8" t="s">
        <v>32</v>
      </c>
      <c r="B16" s="8" t="s">
        <v>19</v>
      </c>
      <c r="C16" s="8" t="s">
        <v>20</v>
      </c>
      <c r="D16" s="8" t="s">
        <v>216</v>
      </c>
      <c r="E16" s="8" t="s">
        <v>222</v>
      </c>
      <c r="F16" s="9">
        <v>400000</v>
      </c>
      <c r="G16" s="10">
        <v>900</v>
      </c>
      <c r="H16" s="8" t="s">
        <v>220</v>
      </c>
      <c r="I16" s="10">
        <v>2900</v>
      </c>
      <c r="J16" s="8" t="s">
        <v>220</v>
      </c>
      <c r="K16" s="8" t="s">
        <v>219</v>
      </c>
      <c r="L16" s="10">
        <v>2500</v>
      </c>
      <c r="M16" s="13">
        <v>4</v>
      </c>
      <c r="N16" s="10">
        <v>14000000000</v>
      </c>
    </row>
    <row r="17" spans="1:14" ht="21" x14ac:dyDescent="0.25">
      <c r="A17" s="8" t="s">
        <v>33</v>
      </c>
      <c r="B17" s="8" t="s">
        <v>4</v>
      </c>
      <c r="C17" s="8" t="s">
        <v>25</v>
      </c>
      <c r="D17" s="8" t="s">
        <v>215</v>
      </c>
      <c r="E17" s="8" t="s">
        <v>221</v>
      </c>
      <c r="F17" s="9">
        <v>1700000</v>
      </c>
      <c r="G17" s="10">
        <v>1000</v>
      </c>
      <c r="H17" s="8" t="s">
        <v>220</v>
      </c>
      <c r="I17" s="10">
        <v>3200</v>
      </c>
      <c r="J17" s="8" t="s">
        <v>220</v>
      </c>
      <c r="K17" s="8" t="s">
        <v>220</v>
      </c>
      <c r="L17" s="10">
        <v>1800</v>
      </c>
      <c r="M17" s="13">
        <v>2</v>
      </c>
      <c r="N17" s="10">
        <v>60000000000</v>
      </c>
    </row>
    <row r="18" spans="1:14" ht="21" x14ac:dyDescent="0.25">
      <c r="A18" s="8" t="s">
        <v>34</v>
      </c>
      <c r="B18" s="8" t="s">
        <v>4</v>
      </c>
      <c r="C18" s="8" t="s">
        <v>5</v>
      </c>
      <c r="D18" s="8" t="s">
        <v>214</v>
      </c>
      <c r="E18" s="8" t="s">
        <v>220</v>
      </c>
      <c r="F18" s="9">
        <v>173000000</v>
      </c>
      <c r="G18" s="10">
        <v>75</v>
      </c>
      <c r="H18" s="8" t="s">
        <v>237</v>
      </c>
      <c r="I18" s="10">
        <v>260</v>
      </c>
      <c r="J18" s="8" t="s">
        <v>239</v>
      </c>
      <c r="K18" s="8" t="s">
        <v>239</v>
      </c>
      <c r="L18" s="10">
        <v>220</v>
      </c>
      <c r="M18" s="13">
        <v>8</v>
      </c>
      <c r="N18" s="10">
        <v>560000000000</v>
      </c>
    </row>
    <row r="19" spans="1:14" ht="21" x14ac:dyDescent="0.25">
      <c r="A19" s="8" t="s">
        <v>35</v>
      </c>
      <c r="B19" s="8" t="s">
        <v>19</v>
      </c>
      <c r="C19" s="8" t="s">
        <v>20</v>
      </c>
      <c r="D19" s="8" t="s">
        <v>216</v>
      </c>
      <c r="E19" s="8" t="s">
        <v>222</v>
      </c>
      <c r="F19" s="9">
        <v>280000</v>
      </c>
      <c r="G19" s="10">
        <v>700</v>
      </c>
      <c r="H19" s="8" t="s">
        <v>220</v>
      </c>
      <c r="I19" s="10">
        <v>2200</v>
      </c>
      <c r="J19" s="8" t="s">
        <v>220</v>
      </c>
      <c r="K19" s="8" t="s">
        <v>220</v>
      </c>
      <c r="L19" s="10">
        <v>2100</v>
      </c>
      <c r="M19" s="13">
        <v>4</v>
      </c>
      <c r="N19" s="10">
        <v>7000000000</v>
      </c>
    </row>
    <row r="20" spans="1:14" ht="21" x14ac:dyDescent="0.25">
      <c r="A20" s="8" t="s">
        <v>36</v>
      </c>
      <c r="B20" s="8" t="s">
        <v>7</v>
      </c>
      <c r="C20" s="8" t="s">
        <v>37</v>
      </c>
      <c r="D20" s="8" t="s">
        <v>214</v>
      </c>
      <c r="E20" s="8" t="s">
        <v>220</v>
      </c>
      <c r="F20" s="9">
        <v>9200000</v>
      </c>
      <c r="G20" s="10">
        <v>250</v>
      </c>
      <c r="H20" s="8" t="s">
        <v>221</v>
      </c>
      <c r="I20" s="10">
        <v>700</v>
      </c>
      <c r="J20" s="8" t="s">
        <v>221</v>
      </c>
      <c r="K20" s="8" t="s">
        <v>221</v>
      </c>
      <c r="L20" s="10">
        <v>450</v>
      </c>
      <c r="M20" s="13">
        <v>6</v>
      </c>
      <c r="N20" s="10">
        <v>85000000000</v>
      </c>
    </row>
    <row r="21" spans="1:14" ht="21" x14ac:dyDescent="0.25">
      <c r="A21" s="8" t="s">
        <v>38</v>
      </c>
      <c r="B21" s="8" t="s">
        <v>7</v>
      </c>
      <c r="C21" s="8" t="s">
        <v>30</v>
      </c>
      <c r="D21" s="8" t="s">
        <v>215</v>
      </c>
      <c r="E21" s="8" t="s">
        <v>221</v>
      </c>
      <c r="F21" s="9">
        <v>11700000</v>
      </c>
      <c r="G21" s="10">
        <v>2000</v>
      </c>
      <c r="H21" s="8" t="s">
        <v>219</v>
      </c>
      <c r="I21" s="10">
        <v>3900</v>
      </c>
      <c r="J21" s="8" t="s">
        <v>219</v>
      </c>
      <c r="K21" s="8" t="s">
        <v>219</v>
      </c>
      <c r="L21" s="10">
        <v>2600</v>
      </c>
      <c r="M21" s="13">
        <v>3</v>
      </c>
      <c r="N21" s="10">
        <v>780000000000</v>
      </c>
    </row>
    <row r="22" spans="1:14" ht="21" x14ac:dyDescent="0.25">
      <c r="A22" s="8" t="s">
        <v>39</v>
      </c>
      <c r="B22" s="8" t="s">
        <v>19</v>
      </c>
      <c r="C22" s="8" t="s">
        <v>40</v>
      </c>
      <c r="D22" s="8" t="s">
        <v>214</v>
      </c>
      <c r="E22" s="8" t="s">
        <v>220</v>
      </c>
      <c r="F22" s="9">
        <v>430000</v>
      </c>
      <c r="G22" s="10">
        <v>350</v>
      </c>
      <c r="H22" s="8" t="s">
        <v>224</v>
      </c>
      <c r="I22" s="10">
        <v>1050</v>
      </c>
      <c r="J22" s="8" t="s">
        <v>224</v>
      </c>
      <c r="K22" s="8" t="s">
        <v>224</v>
      </c>
      <c r="L22" s="10">
        <v>700</v>
      </c>
      <c r="M22" s="13">
        <v>5</v>
      </c>
      <c r="N22" s="10">
        <v>3500000000</v>
      </c>
    </row>
    <row r="23" spans="1:14" ht="21" x14ac:dyDescent="0.25">
      <c r="A23" s="8" t="s">
        <v>41</v>
      </c>
      <c r="B23" s="8" t="s">
        <v>10</v>
      </c>
      <c r="C23" s="8" t="s">
        <v>42</v>
      </c>
      <c r="D23" s="8" t="s">
        <v>213</v>
      </c>
      <c r="E23" s="8" t="s">
        <v>219</v>
      </c>
      <c r="F23" s="9">
        <v>14000000</v>
      </c>
      <c r="G23" s="10">
        <v>80</v>
      </c>
      <c r="H23" s="8" t="s">
        <v>237</v>
      </c>
      <c r="I23" s="10">
        <v>250</v>
      </c>
      <c r="J23" s="8" t="s">
        <v>239</v>
      </c>
      <c r="K23" s="8" t="s">
        <v>239</v>
      </c>
      <c r="L23" s="10">
        <v>250</v>
      </c>
      <c r="M23" s="13">
        <v>3</v>
      </c>
      <c r="N23" s="10">
        <v>27000000000</v>
      </c>
    </row>
    <row r="24" spans="1:14" ht="21" x14ac:dyDescent="0.25">
      <c r="A24" s="8" t="s">
        <v>43</v>
      </c>
      <c r="B24" s="8" t="s">
        <v>19</v>
      </c>
      <c r="C24" s="8" t="s">
        <v>20</v>
      </c>
      <c r="D24" s="8" t="s">
        <v>215</v>
      </c>
      <c r="E24" s="8" t="s">
        <v>221</v>
      </c>
      <c r="F24" s="9">
        <v>64000</v>
      </c>
      <c r="G24" s="10">
        <v>1800</v>
      </c>
      <c r="H24" s="8" t="s">
        <v>219</v>
      </c>
      <c r="I24" s="10">
        <v>5500</v>
      </c>
      <c r="J24" s="8" t="s">
        <v>219</v>
      </c>
      <c r="K24" s="8" t="s">
        <v>219</v>
      </c>
      <c r="L24" s="10">
        <v>3500</v>
      </c>
      <c r="M24" s="13">
        <v>3</v>
      </c>
      <c r="N24" s="10">
        <v>6000000000</v>
      </c>
    </row>
    <row r="25" spans="1:14" ht="21" x14ac:dyDescent="0.25">
      <c r="A25" s="8" t="s">
        <v>44</v>
      </c>
      <c r="B25" s="8" t="s">
        <v>4</v>
      </c>
      <c r="C25" s="8" t="s">
        <v>5</v>
      </c>
      <c r="D25" s="8" t="s">
        <v>214</v>
      </c>
      <c r="E25" s="8" t="s">
        <v>220</v>
      </c>
      <c r="F25" s="9">
        <v>800000</v>
      </c>
      <c r="G25" s="10">
        <v>150</v>
      </c>
      <c r="H25" s="8" t="s">
        <v>221</v>
      </c>
      <c r="I25" s="10">
        <v>400</v>
      </c>
      <c r="J25" s="8" t="s">
        <v>239</v>
      </c>
      <c r="K25" s="8" t="s">
        <v>239</v>
      </c>
      <c r="L25" s="10">
        <v>280</v>
      </c>
      <c r="M25" s="13">
        <v>4</v>
      </c>
      <c r="N25" s="10">
        <v>3500000000</v>
      </c>
    </row>
    <row r="26" spans="1:14" ht="21" x14ac:dyDescent="0.25">
      <c r="A26" s="8" t="s">
        <v>45</v>
      </c>
      <c r="B26" s="8" t="s">
        <v>23</v>
      </c>
      <c r="C26" s="8" t="s">
        <v>23</v>
      </c>
      <c r="D26" s="8" t="s">
        <v>214</v>
      </c>
      <c r="E26" s="8" t="s">
        <v>220</v>
      </c>
      <c r="F26" s="9">
        <v>12500000</v>
      </c>
      <c r="G26" s="10">
        <v>350</v>
      </c>
      <c r="H26" s="8" t="s">
        <v>224</v>
      </c>
      <c r="I26" s="10">
        <v>720</v>
      </c>
      <c r="J26" s="8" t="s">
        <v>221</v>
      </c>
      <c r="K26" s="8" t="s">
        <v>239</v>
      </c>
      <c r="L26" s="10">
        <v>350</v>
      </c>
      <c r="M26" s="13">
        <v>4</v>
      </c>
      <c r="N26" s="10">
        <v>75000000000</v>
      </c>
    </row>
    <row r="27" spans="1:14" ht="21" x14ac:dyDescent="0.25">
      <c r="A27" s="8" t="s">
        <v>46</v>
      </c>
      <c r="B27" s="8" t="s">
        <v>7</v>
      </c>
      <c r="C27" s="8" t="s">
        <v>8</v>
      </c>
      <c r="D27" s="8" t="s">
        <v>214</v>
      </c>
      <c r="E27" s="8" t="s">
        <v>220</v>
      </c>
      <c r="F27" s="9">
        <v>3200000</v>
      </c>
      <c r="G27" s="10">
        <v>400</v>
      </c>
      <c r="H27" s="8" t="s">
        <v>224</v>
      </c>
      <c r="I27" s="10">
        <v>900</v>
      </c>
      <c r="J27" s="8" t="s">
        <v>221</v>
      </c>
      <c r="K27" s="8" t="s">
        <v>221</v>
      </c>
      <c r="L27" s="10">
        <v>600</v>
      </c>
      <c r="M27" s="13">
        <v>4</v>
      </c>
      <c r="N27" s="10">
        <v>50000000000</v>
      </c>
    </row>
    <row r="28" spans="1:14" ht="21" x14ac:dyDescent="0.25">
      <c r="A28" s="8" t="s">
        <v>47</v>
      </c>
      <c r="B28" s="8" t="s">
        <v>10</v>
      </c>
      <c r="C28" s="8" t="s">
        <v>48</v>
      </c>
      <c r="D28" s="8" t="s">
        <v>214</v>
      </c>
      <c r="E28" s="8" t="s">
        <v>220</v>
      </c>
      <c r="F28" s="9">
        <v>2700000</v>
      </c>
      <c r="G28" s="10">
        <v>300</v>
      </c>
      <c r="H28" s="8" t="s">
        <v>224</v>
      </c>
      <c r="I28" s="10">
        <v>950</v>
      </c>
      <c r="J28" s="8" t="s">
        <v>221</v>
      </c>
      <c r="K28" s="8" t="s">
        <v>221</v>
      </c>
      <c r="L28" s="10">
        <v>550</v>
      </c>
      <c r="M28" s="13">
        <v>5</v>
      </c>
      <c r="N28" s="10">
        <v>20000000000</v>
      </c>
    </row>
    <row r="29" spans="1:14" ht="21" x14ac:dyDescent="0.25">
      <c r="A29" s="8" t="s">
        <v>49</v>
      </c>
      <c r="B29" s="8" t="s">
        <v>23</v>
      </c>
      <c r="C29" s="8" t="s">
        <v>23</v>
      </c>
      <c r="D29" s="8" t="s">
        <v>216</v>
      </c>
      <c r="E29" s="8" t="s">
        <v>222</v>
      </c>
      <c r="F29" s="9">
        <v>216000000</v>
      </c>
      <c r="G29" s="10">
        <v>280</v>
      </c>
      <c r="H29" s="8" t="s">
        <v>224</v>
      </c>
      <c r="I29" s="10">
        <v>720</v>
      </c>
      <c r="J29" s="8" t="s">
        <v>221</v>
      </c>
      <c r="K29" s="8" t="s">
        <v>224</v>
      </c>
      <c r="L29" s="10">
        <v>800</v>
      </c>
      <c r="M29" s="13">
        <v>4</v>
      </c>
      <c r="N29" s="10">
        <v>2400000000000</v>
      </c>
    </row>
    <row r="30" spans="1:14" ht="21" x14ac:dyDescent="0.25">
      <c r="A30" s="8" t="s">
        <v>50</v>
      </c>
      <c r="B30" s="8" t="s">
        <v>4</v>
      </c>
      <c r="C30" s="8" t="s">
        <v>51</v>
      </c>
      <c r="D30" s="8" t="s">
        <v>215</v>
      </c>
      <c r="E30" s="8" t="s">
        <v>221</v>
      </c>
      <c r="F30" s="9">
        <v>450000</v>
      </c>
      <c r="G30" s="10">
        <v>900</v>
      </c>
      <c r="H30" s="8" t="s">
        <v>220</v>
      </c>
      <c r="I30" s="10">
        <v>3200</v>
      </c>
      <c r="J30" s="8" t="s">
        <v>220</v>
      </c>
      <c r="K30" s="8" t="s">
        <v>224</v>
      </c>
      <c r="L30" s="10">
        <v>1600</v>
      </c>
      <c r="M30" s="13">
        <v>1</v>
      </c>
      <c r="N30" s="10">
        <v>16000000000</v>
      </c>
    </row>
    <row r="31" spans="1:14" ht="21" x14ac:dyDescent="0.25">
      <c r="A31" s="8" t="s">
        <v>52</v>
      </c>
      <c r="B31" s="8" t="s">
        <v>7</v>
      </c>
      <c r="C31" s="8" t="s">
        <v>37</v>
      </c>
      <c r="D31" s="8" t="s">
        <v>217</v>
      </c>
      <c r="E31" s="8" t="s">
        <v>222</v>
      </c>
      <c r="F31" s="9">
        <v>6400000</v>
      </c>
      <c r="G31" s="10">
        <v>600</v>
      </c>
      <c r="H31" s="8" t="s">
        <v>220</v>
      </c>
      <c r="I31" s="10">
        <v>1350</v>
      </c>
      <c r="J31" s="8" t="s">
        <v>221</v>
      </c>
      <c r="K31" s="8" t="s">
        <v>221</v>
      </c>
      <c r="L31" s="10">
        <v>650</v>
      </c>
      <c r="M31" s="13">
        <v>4</v>
      </c>
      <c r="N31" s="10">
        <v>135000000000</v>
      </c>
    </row>
    <row r="32" spans="1:14" ht="21" x14ac:dyDescent="0.25">
      <c r="A32" s="8" t="s">
        <v>53</v>
      </c>
      <c r="B32" s="8" t="s">
        <v>10</v>
      </c>
      <c r="C32" s="8" t="s">
        <v>42</v>
      </c>
      <c r="D32" s="8" t="s">
        <v>213</v>
      </c>
      <c r="E32" s="8" t="s">
        <v>219</v>
      </c>
      <c r="F32" s="9">
        <v>23000000</v>
      </c>
      <c r="G32" s="10">
        <v>70</v>
      </c>
      <c r="H32" s="8" t="s">
        <v>237</v>
      </c>
      <c r="I32" s="10">
        <v>210</v>
      </c>
      <c r="J32" s="8" t="s">
        <v>239</v>
      </c>
      <c r="K32" s="8" t="s">
        <v>239</v>
      </c>
      <c r="L32" s="10">
        <v>220</v>
      </c>
      <c r="M32" s="13">
        <v>3</v>
      </c>
      <c r="N32" s="10">
        <v>23000000000</v>
      </c>
    </row>
    <row r="33" spans="1:14" ht="21" x14ac:dyDescent="0.25">
      <c r="A33" s="8" t="s">
        <v>54</v>
      </c>
      <c r="B33" s="8" t="s">
        <v>4</v>
      </c>
      <c r="C33" s="8" t="s">
        <v>51</v>
      </c>
      <c r="D33" s="8" t="s">
        <v>213</v>
      </c>
      <c r="E33" s="8" t="s">
        <v>219</v>
      </c>
      <c r="F33" s="9">
        <v>55000000</v>
      </c>
      <c r="G33" s="10">
        <v>60</v>
      </c>
      <c r="H33" s="8" t="s">
        <v>237</v>
      </c>
      <c r="I33" s="10">
        <v>170</v>
      </c>
      <c r="J33" s="8" t="s">
        <v>239</v>
      </c>
      <c r="K33" s="8" t="s">
        <v>239</v>
      </c>
      <c r="L33" s="10">
        <v>200</v>
      </c>
      <c r="M33" s="13">
        <v>20</v>
      </c>
      <c r="N33" s="10">
        <v>70000000000</v>
      </c>
    </row>
    <row r="34" spans="1:14" ht="21" x14ac:dyDescent="0.25">
      <c r="A34" s="8" t="s">
        <v>55</v>
      </c>
      <c r="B34" s="8" t="s">
        <v>10</v>
      </c>
      <c r="C34" s="8" t="s">
        <v>56</v>
      </c>
      <c r="D34" s="8" t="s">
        <v>213</v>
      </c>
      <c r="E34" s="8" t="s">
        <v>219</v>
      </c>
      <c r="F34" s="9">
        <v>13000000</v>
      </c>
      <c r="G34" s="10">
        <v>30</v>
      </c>
      <c r="H34" s="8" t="s">
        <v>237</v>
      </c>
      <c r="I34" s="10">
        <v>90</v>
      </c>
      <c r="J34" s="8" t="s">
        <v>239</v>
      </c>
      <c r="K34" s="8" t="s">
        <v>239</v>
      </c>
      <c r="L34" s="10">
        <v>180</v>
      </c>
      <c r="M34" s="13">
        <v>8</v>
      </c>
      <c r="N34" s="10">
        <v>12000000000</v>
      </c>
    </row>
    <row r="35" spans="1:14" ht="21" x14ac:dyDescent="0.25">
      <c r="A35" s="8" t="s">
        <v>57</v>
      </c>
      <c r="B35" s="8" t="s">
        <v>4</v>
      </c>
      <c r="C35" s="8" t="s">
        <v>51</v>
      </c>
      <c r="D35" s="8" t="s">
        <v>214</v>
      </c>
      <c r="E35" s="8" t="s">
        <v>220</v>
      </c>
      <c r="F35" s="9">
        <v>17000000</v>
      </c>
      <c r="G35" s="10">
        <v>200</v>
      </c>
      <c r="H35" s="8" t="s">
        <v>221</v>
      </c>
      <c r="I35" s="10">
        <v>360</v>
      </c>
      <c r="J35" s="8" t="s">
        <v>239</v>
      </c>
      <c r="K35" s="8" t="s">
        <v>221</v>
      </c>
      <c r="L35" s="10">
        <v>380</v>
      </c>
      <c r="M35" s="13">
        <v>4</v>
      </c>
      <c r="N35" s="10">
        <v>60000000000</v>
      </c>
    </row>
    <row r="36" spans="1:14" ht="21" x14ac:dyDescent="0.25">
      <c r="A36" s="8" t="s">
        <v>58</v>
      </c>
      <c r="B36" s="8" t="s">
        <v>10</v>
      </c>
      <c r="C36" s="8" t="s">
        <v>17</v>
      </c>
      <c r="D36" s="8" t="s">
        <v>213</v>
      </c>
      <c r="E36" s="8" t="s">
        <v>219</v>
      </c>
      <c r="F36" s="9">
        <v>29000000</v>
      </c>
      <c r="G36" s="10">
        <v>75</v>
      </c>
      <c r="H36" s="8" t="s">
        <v>237</v>
      </c>
      <c r="I36" s="10">
        <v>240</v>
      </c>
      <c r="J36" s="8" t="s">
        <v>239</v>
      </c>
      <c r="K36" s="8" t="s">
        <v>221</v>
      </c>
      <c r="L36" s="10">
        <v>350</v>
      </c>
      <c r="M36" s="13">
        <v>5</v>
      </c>
      <c r="N36" s="10">
        <v>70000000000</v>
      </c>
    </row>
    <row r="37" spans="1:14" ht="21" x14ac:dyDescent="0.25">
      <c r="A37" s="8" t="s">
        <v>59</v>
      </c>
      <c r="B37" s="8" t="s">
        <v>19</v>
      </c>
      <c r="C37" s="8" t="s">
        <v>60</v>
      </c>
      <c r="D37" s="8" t="s">
        <v>215</v>
      </c>
      <c r="E37" s="8" t="s">
        <v>221</v>
      </c>
      <c r="F37" s="9">
        <v>41000000</v>
      </c>
      <c r="G37" s="10">
        <v>2200</v>
      </c>
      <c r="H37" s="8" t="s">
        <v>219</v>
      </c>
      <c r="I37" s="10">
        <v>4500</v>
      </c>
      <c r="J37" s="8" t="s">
        <v>219</v>
      </c>
      <c r="K37" s="8" t="s">
        <v>219</v>
      </c>
      <c r="L37" s="10">
        <v>3000</v>
      </c>
      <c r="M37" s="13">
        <v>3</v>
      </c>
      <c r="N37" s="10">
        <v>2300000000000</v>
      </c>
    </row>
    <row r="38" spans="1:14" ht="21" x14ac:dyDescent="0.25">
      <c r="A38" s="8" t="s">
        <v>61</v>
      </c>
      <c r="B38" s="8" t="s">
        <v>10</v>
      </c>
      <c r="C38" s="8" t="s">
        <v>42</v>
      </c>
      <c r="D38" s="8" t="s">
        <v>214</v>
      </c>
      <c r="E38" s="8" t="s">
        <v>220</v>
      </c>
      <c r="F38" s="9">
        <v>600000</v>
      </c>
      <c r="G38" s="10">
        <v>250</v>
      </c>
      <c r="H38" s="8" t="s">
        <v>221</v>
      </c>
      <c r="I38" s="10">
        <v>720</v>
      </c>
      <c r="J38" s="8" t="s">
        <v>221</v>
      </c>
      <c r="K38" s="8" t="s">
        <v>221</v>
      </c>
      <c r="L38" s="10">
        <v>550</v>
      </c>
      <c r="M38" s="13">
        <v>3</v>
      </c>
      <c r="N38" s="10">
        <v>7000000000</v>
      </c>
    </row>
    <row r="39" spans="1:14" ht="21" x14ac:dyDescent="0.25">
      <c r="A39" s="8" t="s">
        <v>62</v>
      </c>
      <c r="B39" s="8" t="s">
        <v>19</v>
      </c>
      <c r="C39" s="8" t="s">
        <v>20</v>
      </c>
      <c r="D39" s="8" t="s">
        <v>215</v>
      </c>
      <c r="E39" s="8" t="s">
        <v>221</v>
      </c>
      <c r="F39" s="9">
        <v>85000</v>
      </c>
      <c r="G39" s="10">
        <v>1600</v>
      </c>
      <c r="H39" s="8" t="s">
        <v>219</v>
      </c>
      <c r="I39" s="10">
        <v>4500</v>
      </c>
      <c r="J39" s="8" t="s">
        <v>219</v>
      </c>
      <c r="K39" s="8" t="s">
        <v>219</v>
      </c>
      <c r="L39" s="10">
        <v>3200</v>
      </c>
      <c r="M39" s="13">
        <v>3</v>
      </c>
      <c r="N39" s="10">
        <v>6000000000</v>
      </c>
    </row>
    <row r="40" spans="1:14" ht="21" x14ac:dyDescent="0.25">
      <c r="A40" s="8" t="s">
        <v>63</v>
      </c>
      <c r="B40" s="8" t="s">
        <v>10</v>
      </c>
      <c r="C40" s="8" t="s">
        <v>17</v>
      </c>
      <c r="D40" s="8" t="s">
        <v>213</v>
      </c>
      <c r="E40" s="8" t="s">
        <v>219</v>
      </c>
      <c r="F40" s="9">
        <v>5000000</v>
      </c>
      <c r="G40" s="10">
        <v>40</v>
      </c>
      <c r="H40" s="8" t="s">
        <v>237</v>
      </c>
      <c r="I40" s="10">
        <v>110</v>
      </c>
      <c r="J40" s="8" t="s">
        <v>239</v>
      </c>
      <c r="K40" s="8" t="s">
        <v>239</v>
      </c>
      <c r="L40" s="10">
        <v>200</v>
      </c>
      <c r="M40" s="13">
        <v>4</v>
      </c>
      <c r="N40" s="10">
        <v>4500000000</v>
      </c>
    </row>
    <row r="41" spans="1:14" ht="21" x14ac:dyDescent="0.25">
      <c r="A41" s="8" t="s">
        <v>64</v>
      </c>
      <c r="B41" s="8" t="s">
        <v>10</v>
      </c>
      <c r="C41" s="8" t="s">
        <v>17</v>
      </c>
      <c r="D41" s="8" t="s">
        <v>213</v>
      </c>
      <c r="E41" s="8" t="s">
        <v>219</v>
      </c>
      <c r="F41" s="9">
        <v>18000000</v>
      </c>
      <c r="G41" s="10">
        <v>50</v>
      </c>
      <c r="H41" s="8" t="s">
        <v>237</v>
      </c>
      <c r="I41" s="10">
        <v>130</v>
      </c>
      <c r="J41" s="8" t="s">
        <v>239</v>
      </c>
      <c r="K41" s="8" t="s">
        <v>239</v>
      </c>
      <c r="L41" s="10">
        <v>220</v>
      </c>
      <c r="M41" s="13">
        <v>4</v>
      </c>
      <c r="N41" s="10">
        <v>18000000000</v>
      </c>
    </row>
    <row r="42" spans="1:14" ht="21" x14ac:dyDescent="0.25">
      <c r="A42" s="8" t="s">
        <v>65</v>
      </c>
      <c r="B42" s="8" t="s">
        <v>23</v>
      </c>
      <c r="C42" s="8" t="s">
        <v>23</v>
      </c>
      <c r="D42" s="8" t="s">
        <v>215</v>
      </c>
      <c r="E42" s="8" t="s">
        <v>221</v>
      </c>
      <c r="F42" s="9">
        <v>20000000</v>
      </c>
      <c r="G42" s="10">
        <v>550</v>
      </c>
      <c r="H42" s="8" t="s">
        <v>224</v>
      </c>
      <c r="I42" s="10">
        <v>1450</v>
      </c>
      <c r="J42" s="8" t="s">
        <v>224</v>
      </c>
      <c r="K42" s="8" t="s">
        <v>224</v>
      </c>
      <c r="L42" s="10">
        <v>950</v>
      </c>
      <c r="M42" s="13">
        <v>4</v>
      </c>
      <c r="N42" s="10">
        <v>360000000000</v>
      </c>
    </row>
    <row r="43" spans="1:14" ht="21" x14ac:dyDescent="0.25">
      <c r="A43" s="8" t="s">
        <v>66</v>
      </c>
      <c r="B43" s="8" t="s">
        <v>4</v>
      </c>
      <c r="C43" s="8" t="s">
        <v>67</v>
      </c>
      <c r="D43" s="8" t="s">
        <v>217</v>
      </c>
      <c r="E43" s="8" t="s">
        <v>222</v>
      </c>
      <c r="F43" s="9">
        <v>1410000000</v>
      </c>
      <c r="G43" s="10">
        <v>350</v>
      </c>
      <c r="H43" s="8" t="s">
        <v>224</v>
      </c>
      <c r="I43" s="10">
        <v>960</v>
      </c>
      <c r="J43" s="8" t="s">
        <v>221</v>
      </c>
      <c r="K43" s="8" t="s">
        <v>224</v>
      </c>
      <c r="L43" s="10">
        <v>900</v>
      </c>
      <c r="M43" s="13">
        <v>1</v>
      </c>
      <c r="N43" s="10">
        <v>18500000000000</v>
      </c>
    </row>
    <row r="44" spans="1:14" ht="21" x14ac:dyDescent="0.25">
      <c r="A44" s="8" t="s">
        <v>68</v>
      </c>
      <c r="B44" s="8" t="s">
        <v>23</v>
      </c>
      <c r="C44" s="8" t="s">
        <v>23</v>
      </c>
      <c r="D44" s="8" t="s">
        <v>216</v>
      </c>
      <c r="E44" s="8" t="s">
        <v>222</v>
      </c>
      <c r="F44" s="9">
        <v>52000000</v>
      </c>
      <c r="G44" s="10">
        <v>350</v>
      </c>
      <c r="H44" s="8" t="s">
        <v>224</v>
      </c>
      <c r="I44" s="10">
        <v>880</v>
      </c>
      <c r="J44" s="8" t="s">
        <v>221</v>
      </c>
      <c r="K44" s="8" t="s">
        <v>224</v>
      </c>
      <c r="L44" s="10">
        <v>700</v>
      </c>
      <c r="M44" s="13">
        <v>6</v>
      </c>
      <c r="N44" s="10">
        <v>450000000000</v>
      </c>
    </row>
    <row r="45" spans="1:14" ht="21" x14ac:dyDescent="0.25">
      <c r="A45" s="8" t="s">
        <v>69</v>
      </c>
      <c r="B45" s="8" t="s">
        <v>10</v>
      </c>
      <c r="C45" s="8" t="s">
        <v>56</v>
      </c>
      <c r="D45" s="8" t="s">
        <v>213</v>
      </c>
      <c r="E45" s="8" t="s">
        <v>219</v>
      </c>
      <c r="F45" s="9">
        <v>900000</v>
      </c>
      <c r="G45" s="10">
        <v>60</v>
      </c>
      <c r="H45" s="8" t="s">
        <v>237</v>
      </c>
      <c r="I45" s="10">
        <v>160</v>
      </c>
      <c r="J45" s="8" t="s">
        <v>239</v>
      </c>
      <c r="K45" s="8" t="s">
        <v>239</v>
      </c>
      <c r="L45" s="10">
        <v>220</v>
      </c>
      <c r="M45" s="13">
        <v>3</v>
      </c>
      <c r="N45" s="10">
        <v>3000000000</v>
      </c>
    </row>
    <row r="46" spans="1:14" ht="21" x14ac:dyDescent="0.25">
      <c r="A46" s="8" t="s">
        <v>70</v>
      </c>
      <c r="B46" s="8" t="s">
        <v>10</v>
      </c>
      <c r="C46" s="8" t="s">
        <v>17</v>
      </c>
      <c r="D46" s="8" t="s">
        <v>213</v>
      </c>
      <c r="E46" s="8" t="s">
        <v>219</v>
      </c>
      <c r="F46" s="9">
        <v>102000000</v>
      </c>
      <c r="G46" s="10">
        <v>60</v>
      </c>
      <c r="H46" s="8" t="s">
        <v>237</v>
      </c>
      <c r="I46" s="10">
        <v>140</v>
      </c>
      <c r="J46" s="8" t="s">
        <v>239</v>
      </c>
      <c r="K46" s="8" t="s">
        <v>239</v>
      </c>
      <c r="L46" s="10">
        <v>200</v>
      </c>
      <c r="M46" s="13">
        <v>8</v>
      </c>
      <c r="N46" s="10">
        <v>85000000000</v>
      </c>
    </row>
    <row r="47" spans="1:14" ht="21" x14ac:dyDescent="0.25">
      <c r="A47" s="8" t="s">
        <v>71</v>
      </c>
      <c r="B47" s="8" t="s">
        <v>10</v>
      </c>
      <c r="C47" s="8" t="s">
        <v>17</v>
      </c>
      <c r="D47" s="8" t="s">
        <v>213</v>
      </c>
      <c r="E47" s="8" t="s">
        <v>219</v>
      </c>
      <c r="F47" s="9">
        <v>6000000</v>
      </c>
      <c r="G47" s="10">
        <v>120</v>
      </c>
      <c r="H47" s="8" t="s">
        <v>221</v>
      </c>
      <c r="I47" s="10">
        <v>400</v>
      </c>
      <c r="J47" s="8" t="s">
        <v>239</v>
      </c>
      <c r="K47" s="8" t="s">
        <v>221</v>
      </c>
      <c r="L47" s="10">
        <v>450</v>
      </c>
      <c r="M47" s="13">
        <v>4</v>
      </c>
      <c r="N47" s="10">
        <v>22000000000</v>
      </c>
    </row>
    <row r="48" spans="1:14" ht="21" x14ac:dyDescent="0.25">
      <c r="A48" s="8" t="s">
        <v>72</v>
      </c>
      <c r="B48" s="8" t="s">
        <v>13</v>
      </c>
      <c r="C48" s="8" t="s">
        <v>14</v>
      </c>
      <c r="D48" s="8" t="s">
        <v>214</v>
      </c>
      <c r="E48" s="8" t="s">
        <v>220</v>
      </c>
      <c r="F48" s="9">
        <v>17000</v>
      </c>
      <c r="G48" s="10">
        <v>300</v>
      </c>
      <c r="H48" s="8" t="s">
        <v>221</v>
      </c>
      <c r="I48" s="10">
        <v>900</v>
      </c>
      <c r="J48" s="8" t="s">
        <v>239</v>
      </c>
      <c r="K48" s="8" t="s">
        <v>224</v>
      </c>
      <c r="L48" s="10">
        <v>800</v>
      </c>
      <c r="M48" s="13">
        <v>3</v>
      </c>
      <c r="N48" s="10">
        <v>600000000</v>
      </c>
    </row>
    <row r="49" spans="1:14" ht="21" x14ac:dyDescent="0.25">
      <c r="A49" s="8" t="s">
        <v>73</v>
      </c>
      <c r="B49" s="8" t="s">
        <v>19</v>
      </c>
      <c r="C49" s="8" t="s">
        <v>40</v>
      </c>
      <c r="D49" s="8" t="s">
        <v>216</v>
      </c>
      <c r="E49" s="8" t="s">
        <v>222</v>
      </c>
      <c r="F49" s="9">
        <v>5300000</v>
      </c>
      <c r="G49" s="10">
        <v>700</v>
      </c>
      <c r="H49" s="8" t="s">
        <v>220</v>
      </c>
      <c r="I49" s="10">
        <v>1600</v>
      </c>
      <c r="J49" s="8" t="s">
        <v>224</v>
      </c>
      <c r="K49" s="8" t="s">
        <v>220</v>
      </c>
      <c r="L49" s="10">
        <v>1200</v>
      </c>
      <c r="M49" s="13">
        <v>4</v>
      </c>
      <c r="N49" s="10">
        <v>100000000000</v>
      </c>
    </row>
    <row r="50" spans="1:14" ht="21" x14ac:dyDescent="0.25">
      <c r="A50" s="8" t="s">
        <v>74</v>
      </c>
      <c r="B50" s="8" t="s">
        <v>10</v>
      </c>
      <c r="C50" s="8" t="s">
        <v>42</v>
      </c>
      <c r="D50" s="8" t="s">
        <v>214</v>
      </c>
      <c r="E50" s="8" t="s">
        <v>220</v>
      </c>
      <c r="F50" s="9">
        <v>30000000</v>
      </c>
      <c r="G50" s="10">
        <v>90</v>
      </c>
      <c r="H50" s="8" t="s">
        <v>237</v>
      </c>
      <c r="I50" s="10">
        <v>280</v>
      </c>
      <c r="J50" s="8" t="s">
        <v>239</v>
      </c>
      <c r="K50" s="8" t="s">
        <v>221</v>
      </c>
      <c r="L50" s="10">
        <v>420</v>
      </c>
      <c r="M50" s="13">
        <v>3</v>
      </c>
      <c r="N50" s="10">
        <v>95000000000</v>
      </c>
    </row>
    <row r="51" spans="1:14" ht="21" x14ac:dyDescent="0.25">
      <c r="A51" s="8" t="s">
        <v>75</v>
      </c>
      <c r="B51" s="8" t="s">
        <v>7</v>
      </c>
      <c r="C51" s="8" t="s">
        <v>8</v>
      </c>
      <c r="D51" s="8" t="s">
        <v>215</v>
      </c>
      <c r="E51" s="8" t="s">
        <v>221</v>
      </c>
      <c r="F51" s="9">
        <v>3800000</v>
      </c>
      <c r="G51" s="10">
        <v>900</v>
      </c>
      <c r="H51" s="8" t="s">
        <v>220</v>
      </c>
      <c r="I51" s="10">
        <v>1800</v>
      </c>
      <c r="J51" s="8" t="s">
        <v>224</v>
      </c>
      <c r="K51" s="8" t="s">
        <v>220</v>
      </c>
      <c r="L51" s="10">
        <v>1400</v>
      </c>
      <c r="M51" s="13">
        <v>4</v>
      </c>
      <c r="N51" s="10">
        <v>95000000000</v>
      </c>
    </row>
    <row r="52" spans="1:14" ht="21" x14ac:dyDescent="0.25">
      <c r="A52" s="8" t="s">
        <v>76</v>
      </c>
      <c r="B52" s="8" t="s">
        <v>19</v>
      </c>
      <c r="C52" s="8" t="s">
        <v>20</v>
      </c>
      <c r="D52" s="8" t="s">
        <v>214</v>
      </c>
      <c r="E52" s="8" t="s">
        <v>220</v>
      </c>
      <c r="F52" s="9">
        <v>11000000</v>
      </c>
      <c r="G52" s="10">
        <v>50</v>
      </c>
      <c r="H52" s="8" t="s">
        <v>237</v>
      </c>
      <c r="I52" s="10">
        <v>90</v>
      </c>
      <c r="J52" s="8" t="s">
        <v>239</v>
      </c>
      <c r="K52" s="8" t="s">
        <v>221</v>
      </c>
      <c r="L52" s="10">
        <v>300</v>
      </c>
      <c r="M52" s="13">
        <v>4</v>
      </c>
      <c r="N52" s="10">
        <v>110000000000</v>
      </c>
    </row>
    <row r="53" spans="1:14" ht="21" x14ac:dyDescent="0.25">
      <c r="A53" s="8" t="s">
        <v>77</v>
      </c>
      <c r="B53" s="8" t="s">
        <v>7</v>
      </c>
      <c r="C53" s="8" t="s">
        <v>8</v>
      </c>
      <c r="D53" s="8" t="s">
        <v>215</v>
      </c>
      <c r="E53" s="8" t="s">
        <v>221</v>
      </c>
      <c r="F53" s="9">
        <v>1300000</v>
      </c>
      <c r="G53" s="10">
        <v>1000</v>
      </c>
      <c r="H53" s="8" t="s">
        <v>220</v>
      </c>
      <c r="I53" s="10">
        <v>2600</v>
      </c>
      <c r="J53" s="8" t="s">
        <v>220</v>
      </c>
      <c r="K53" s="8" t="s">
        <v>220</v>
      </c>
      <c r="L53" s="10">
        <v>1800</v>
      </c>
      <c r="M53" s="13">
        <v>3</v>
      </c>
      <c r="N53" s="10">
        <v>50000000000</v>
      </c>
    </row>
    <row r="54" spans="1:14" ht="21" x14ac:dyDescent="0.25">
      <c r="A54" s="8" t="s">
        <v>78</v>
      </c>
      <c r="B54" s="8" t="s">
        <v>7</v>
      </c>
      <c r="C54" s="8" t="s">
        <v>37</v>
      </c>
      <c r="D54" s="8" t="s">
        <v>215</v>
      </c>
      <c r="E54" s="8" t="s">
        <v>221</v>
      </c>
      <c r="F54" s="9">
        <v>10700000</v>
      </c>
      <c r="G54" s="10">
        <v>900</v>
      </c>
      <c r="H54" s="8" t="s">
        <v>220</v>
      </c>
      <c r="I54" s="10">
        <v>2100</v>
      </c>
      <c r="J54" s="8" t="s">
        <v>224</v>
      </c>
      <c r="K54" s="8" t="s">
        <v>224</v>
      </c>
      <c r="L54" s="10">
        <v>1600</v>
      </c>
      <c r="M54" s="13">
        <v>3</v>
      </c>
      <c r="N54" s="10">
        <v>370000000000</v>
      </c>
    </row>
    <row r="55" spans="1:14" ht="21" x14ac:dyDescent="0.25">
      <c r="A55" s="8" t="s">
        <v>79</v>
      </c>
      <c r="B55" s="8" t="s">
        <v>7</v>
      </c>
      <c r="C55" s="8" t="s">
        <v>80</v>
      </c>
      <c r="D55" s="8" t="s">
        <v>215</v>
      </c>
      <c r="E55" s="8" t="s">
        <v>221</v>
      </c>
      <c r="F55" s="9">
        <v>6000000</v>
      </c>
      <c r="G55" s="10">
        <v>0</v>
      </c>
      <c r="H55" s="8" t="s">
        <v>219</v>
      </c>
      <c r="I55" s="10">
        <v>4800</v>
      </c>
      <c r="J55" s="8" t="s">
        <v>219</v>
      </c>
      <c r="K55" s="8" t="s">
        <v>219</v>
      </c>
      <c r="L55" s="10">
        <v>3200</v>
      </c>
      <c r="M55" s="13">
        <v>3</v>
      </c>
      <c r="N55" s="10">
        <v>470000000000</v>
      </c>
    </row>
    <row r="56" spans="1:14" ht="21" x14ac:dyDescent="0.25">
      <c r="A56" s="8" t="s">
        <v>81</v>
      </c>
      <c r="B56" s="8" t="s">
        <v>10</v>
      </c>
      <c r="C56" s="8" t="s">
        <v>56</v>
      </c>
      <c r="D56" s="8" t="s">
        <v>213</v>
      </c>
      <c r="E56" s="8" t="s">
        <v>219</v>
      </c>
      <c r="F56" s="9">
        <v>1100000</v>
      </c>
      <c r="G56" s="10">
        <v>200</v>
      </c>
      <c r="H56" s="8" t="s">
        <v>221</v>
      </c>
      <c r="I56" s="10">
        <v>480</v>
      </c>
      <c r="J56" s="8" t="s">
        <v>239</v>
      </c>
      <c r="K56" s="8" t="s">
        <v>224</v>
      </c>
      <c r="L56" s="10">
        <v>700</v>
      </c>
      <c r="M56" s="13">
        <v>4</v>
      </c>
      <c r="N56" s="10">
        <v>5000000000</v>
      </c>
    </row>
    <row r="57" spans="1:14" ht="21" x14ac:dyDescent="0.25">
      <c r="A57" s="8" t="s">
        <v>82</v>
      </c>
      <c r="B57" s="8" t="s">
        <v>19</v>
      </c>
      <c r="C57" s="8" t="s">
        <v>20</v>
      </c>
      <c r="D57" s="8" t="s">
        <v>214</v>
      </c>
      <c r="E57" s="8" t="s">
        <v>220</v>
      </c>
      <c r="F57" s="9">
        <v>70000</v>
      </c>
      <c r="G57" s="10">
        <v>400</v>
      </c>
      <c r="H57" s="8" t="s">
        <v>224</v>
      </c>
      <c r="I57" s="10">
        <v>1000</v>
      </c>
      <c r="J57" s="8" t="s">
        <v>221</v>
      </c>
      <c r="K57" s="8" t="s">
        <v>224</v>
      </c>
      <c r="L57" s="10">
        <v>900</v>
      </c>
      <c r="M57" s="13">
        <v>3</v>
      </c>
      <c r="N57" s="10">
        <v>1300000000</v>
      </c>
    </row>
    <row r="58" spans="1:14" ht="21" x14ac:dyDescent="0.25">
      <c r="A58" s="8" t="s">
        <v>83</v>
      </c>
      <c r="B58" s="8" t="s">
        <v>19</v>
      </c>
      <c r="C58" s="8" t="s">
        <v>20</v>
      </c>
      <c r="D58" s="8" t="s">
        <v>216</v>
      </c>
      <c r="E58" s="8" t="s">
        <v>222</v>
      </c>
      <c r="F58" s="9">
        <v>11000000</v>
      </c>
      <c r="G58" s="10">
        <v>400</v>
      </c>
      <c r="H58" s="8" t="s">
        <v>224</v>
      </c>
      <c r="I58" s="10">
        <v>1050</v>
      </c>
      <c r="J58" s="8" t="s">
        <v>221</v>
      </c>
      <c r="K58" s="8" t="s">
        <v>224</v>
      </c>
      <c r="L58" s="10">
        <v>850</v>
      </c>
      <c r="M58" s="13">
        <v>5</v>
      </c>
      <c r="N58" s="10">
        <v>135000000000</v>
      </c>
    </row>
    <row r="59" spans="1:14" ht="21" x14ac:dyDescent="0.25">
      <c r="A59" s="8" t="s">
        <v>84</v>
      </c>
      <c r="B59" s="8" t="s">
        <v>4</v>
      </c>
      <c r="C59" s="8" t="s">
        <v>51</v>
      </c>
      <c r="D59" s="8" t="s">
        <v>214</v>
      </c>
      <c r="E59" s="8" t="s">
        <v>220</v>
      </c>
      <c r="F59" s="9">
        <v>1300000</v>
      </c>
      <c r="G59" s="10">
        <v>150</v>
      </c>
      <c r="H59" s="8" t="s">
        <v>221</v>
      </c>
      <c r="I59" s="10">
        <v>320</v>
      </c>
      <c r="J59" s="8" t="s">
        <v>239</v>
      </c>
      <c r="K59" s="8" t="s">
        <v>239</v>
      </c>
      <c r="L59" s="10">
        <v>300</v>
      </c>
      <c r="M59" s="13">
        <v>4</v>
      </c>
      <c r="N59" s="10">
        <v>4500000000</v>
      </c>
    </row>
    <row r="60" spans="1:14" ht="21" x14ac:dyDescent="0.25">
      <c r="A60" s="8" t="s">
        <v>85</v>
      </c>
      <c r="B60" s="8" t="s">
        <v>23</v>
      </c>
      <c r="C60" s="8" t="s">
        <v>23</v>
      </c>
      <c r="D60" s="8" t="s">
        <v>216</v>
      </c>
      <c r="E60" s="8" t="s">
        <v>222</v>
      </c>
      <c r="F60" s="9">
        <v>18000000</v>
      </c>
      <c r="G60" s="10">
        <v>460</v>
      </c>
      <c r="H60" s="8" t="s">
        <v>224</v>
      </c>
      <c r="I60" s="10">
        <v>850</v>
      </c>
      <c r="J60" s="8" t="s">
        <v>221</v>
      </c>
      <c r="K60" s="8" t="s">
        <v>224</v>
      </c>
      <c r="L60" s="10">
        <v>650</v>
      </c>
      <c r="M60" s="13">
        <v>3</v>
      </c>
      <c r="N60" s="10">
        <v>125000000000</v>
      </c>
    </row>
    <row r="61" spans="1:14" ht="21" x14ac:dyDescent="0.25">
      <c r="A61" s="8" t="s">
        <v>86</v>
      </c>
      <c r="B61" s="8" t="s">
        <v>10</v>
      </c>
      <c r="C61" s="8" t="s">
        <v>11</v>
      </c>
      <c r="D61" s="8" t="s">
        <v>214</v>
      </c>
      <c r="E61" s="8" t="s">
        <v>220</v>
      </c>
      <c r="F61" s="9">
        <v>112000000</v>
      </c>
      <c r="G61" s="10">
        <v>120</v>
      </c>
      <c r="H61" s="8" t="s">
        <v>221</v>
      </c>
      <c r="I61" s="10">
        <v>380</v>
      </c>
      <c r="J61" s="8" t="s">
        <v>239</v>
      </c>
      <c r="K61" s="8" t="s">
        <v>221</v>
      </c>
      <c r="L61" s="10">
        <v>380</v>
      </c>
      <c r="M61" s="13">
        <v>12</v>
      </c>
      <c r="N61" s="10">
        <v>560000000000</v>
      </c>
    </row>
    <row r="62" spans="1:14" ht="21" x14ac:dyDescent="0.25">
      <c r="A62" s="8" t="s">
        <v>87</v>
      </c>
      <c r="B62" s="8" t="s">
        <v>19</v>
      </c>
      <c r="C62" s="8" t="s">
        <v>40</v>
      </c>
      <c r="D62" s="8" t="s">
        <v>214</v>
      </c>
      <c r="E62" s="8" t="s">
        <v>220</v>
      </c>
      <c r="F62" s="9">
        <v>6300000</v>
      </c>
      <c r="G62" s="10">
        <v>365</v>
      </c>
      <c r="H62" s="8" t="s">
        <v>224</v>
      </c>
      <c r="I62" s="10">
        <v>780</v>
      </c>
      <c r="J62" s="8" t="s">
        <v>221</v>
      </c>
      <c r="K62" s="8" t="s">
        <v>224</v>
      </c>
      <c r="L62" s="10">
        <v>700</v>
      </c>
      <c r="M62" s="13">
        <v>3</v>
      </c>
      <c r="N62" s="10">
        <v>85000000000</v>
      </c>
    </row>
    <row r="63" spans="1:14" ht="21" x14ac:dyDescent="0.25">
      <c r="A63" s="8" t="s">
        <v>88</v>
      </c>
      <c r="B63" s="8" t="s">
        <v>10</v>
      </c>
      <c r="C63" s="8" t="s">
        <v>17</v>
      </c>
      <c r="D63" s="8" t="s">
        <v>214</v>
      </c>
      <c r="E63" s="8" t="s">
        <v>220</v>
      </c>
      <c r="F63" s="9">
        <v>1800000</v>
      </c>
      <c r="G63" s="10">
        <v>200</v>
      </c>
      <c r="H63" s="8" t="s">
        <v>221</v>
      </c>
      <c r="I63" s="10">
        <v>640</v>
      </c>
      <c r="J63" s="8" t="s">
        <v>221</v>
      </c>
      <c r="K63" s="8" t="s">
        <v>221</v>
      </c>
      <c r="L63" s="10">
        <v>600</v>
      </c>
      <c r="M63" s="13">
        <v>4</v>
      </c>
      <c r="N63" s="10">
        <v>12000000000</v>
      </c>
    </row>
    <row r="64" spans="1:14" ht="21" x14ac:dyDescent="0.25">
      <c r="A64" s="8" t="s">
        <v>89</v>
      </c>
      <c r="B64" s="8" t="s">
        <v>10</v>
      </c>
      <c r="C64" s="8" t="s">
        <v>56</v>
      </c>
      <c r="D64" s="8" t="s">
        <v>213</v>
      </c>
      <c r="E64" s="8" t="s">
        <v>219</v>
      </c>
      <c r="F64" s="9">
        <v>3700000</v>
      </c>
      <c r="G64" s="10">
        <v>50</v>
      </c>
      <c r="H64" s="8" t="s">
        <v>237</v>
      </c>
      <c r="I64" s="10">
        <v>110</v>
      </c>
      <c r="J64" s="8" t="s">
        <v>239</v>
      </c>
      <c r="K64" s="8" t="s">
        <v>239</v>
      </c>
      <c r="L64" s="10">
        <v>180</v>
      </c>
      <c r="M64" s="13">
        <v>6</v>
      </c>
      <c r="N64" s="10">
        <v>4000000000</v>
      </c>
    </row>
    <row r="65" spans="1:14" ht="21" x14ac:dyDescent="0.25">
      <c r="A65" s="8" t="s">
        <v>90</v>
      </c>
      <c r="B65" s="8" t="s">
        <v>7</v>
      </c>
      <c r="C65" s="8" t="s">
        <v>80</v>
      </c>
      <c r="D65" s="8" t="s">
        <v>215</v>
      </c>
      <c r="E65" s="8" t="s">
        <v>221</v>
      </c>
      <c r="F65" s="9">
        <v>1300000</v>
      </c>
      <c r="G65" s="10">
        <v>1000</v>
      </c>
      <c r="H65" s="8" t="s">
        <v>220</v>
      </c>
      <c r="I65" s="10">
        <v>2300</v>
      </c>
      <c r="J65" s="8" t="s">
        <v>224</v>
      </c>
      <c r="K65" s="8" t="s">
        <v>220</v>
      </c>
      <c r="L65" s="10">
        <v>1700</v>
      </c>
      <c r="M65" s="13">
        <v>4</v>
      </c>
      <c r="N65" s="10">
        <v>55000000000</v>
      </c>
    </row>
    <row r="66" spans="1:14" ht="21" x14ac:dyDescent="0.25">
      <c r="A66" s="8" t="s">
        <v>91</v>
      </c>
      <c r="B66" s="8" t="s">
        <v>10</v>
      </c>
      <c r="C66" s="8" t="s">
        <v>56</v>
      </c>
      <c r="D66" s="8" t="s">
        <v>213</v>
      </c>
      <c r="E66" s="8" t="s">
        <v>219</v>
      </c>
      <c r="F66" s="9">
        <v>126000000</v>
      </c>
      <c r="G66" s="10">
        <v>60</v>
      </c>
      <c r="H66" s="8" t="s">
        <v>237</v>
      </c>
      <c r="I66" s="10">
        <v>180</v>
      </c>
      <c r="J66" s="8" t="s">
        <v>239</v>
      </c>
      <c r="K66" s="8" t="s">
        <v>239</v>
      </c>
      <c r="L66" s="10">
        <v>250</v>
      </c>
      <c r="M66" s="13">
        <v>15</v>
      </c>
      <c r="N66" s="10">
        <v>240000000000</v>
      </c>
    </row>
    <row r="67" spans="1:14" ht="21" x14ac:dyDescent="0.25">
      <c r="A67" s="8" t="s">
        <v>92</v>
      </c>
      <c r="B67" s="8" t="s">
        <v>13</v>
      </c>
      <c r="C67" s="8" t="s">
        <v>93</v>
      </c>
      <c r="D67" s="8" t="s">
        <v>214</v>
      </c>
      <c r="E67" s="8" t="s">
        <v>220</v>
      </c>
      <c r="F67" s="9">
        <v>930000</v>
      </c>
      <c r="G67" s="10">
        <v>120</v>
      </c>
      <c r="H67" s="8" t="s">
        <v>221</v>
      </c>
      <c r="I67" s="10">
        <v>480</v>
      </c>
      <c r="J67" s="8" t="s">
        <v>239</v>
      </c>
      <c r="K67" s="8" t="s">
        <v>221</v>
      </c>
      <c r="L67" s="10">
        <v>650</v>
      </c>
      <c r="M67" s="13">
        <v>4</v>
      </c>
      <c r="N67" s="10">
        <v>6500000000</v>
      </c>
    </row>
    <row r="68" spans="1:14" ht="21" x14ac:dyDescent="0.25">
      <c r="A68" s="8" t="s">
        <v>94</v>
      </c>
      <c r="B68" s="8" t="s">
        <v>7</v>
      </c>
      <c r="C68" s="8" t="s">
        <v>80</v>
      </c>
      <c r="D68" s="8" t="s">
        <v>215</v>
      </c>
      <c r="E68" s="8" t="s">
        <v>221</v>
      </c>
      <c r="F68" s="9">
        <v>5600000</v>
      </c>
      <c r="G68" s="10">
        <v>0</v>
      </c>
      <c r="H68" s="8" t="s">
        <v>219</v>
      </c>
      <c r="I68" s="10">
        <v>4600</v>
      </c>
      <c r="J68" s="8" t="s">
        <v>219</v>
      </c>
      <c r="K68" s="8" t="s">
        <v>219</v>
      </c>
      <c r="L68" s="10">
        <v>3000</v>
      </c>
      <c r="M68" s="13">
        <v>3</v>
      </c>
      <c r="N68" s="10">
        <v>330000000000</v>
      </c>
    </row>
    <row r="69" spans="1:14" ht="21" x14ac:dyDescent="0.25">
      <c r="A69" s="8" t="s">
        <v>95</v>
      </c>
      <c r="B69" s="8" t="s">
        <v>7</v>
      </c>
      <c r="C69" s="8" t="s">
        <v>30</v>
      </c>
      <c r="D69" s="8" t="s">
        <v>215</v>
      </c>
      <c r="E69" s="8" t="s">
        <v>221</v>
      </c>
      <c r="F69" s="9">
        <v>68000000</v>
      </c>
      <c r="G69" s="10">
        <v>1800</v>
      </c>
      <c r="H69" s="8" t="s">
        <v>219</v>
      </c>
      <c r="I69" s="10">
        <v>3600</v>
      </c>
      <c r="J69" s="8" t="s">
        <v>219</v>
      </c>
      <c r="K69" s="8" t="s">
        <v>219</v>
      </c>
      <c r="L69" s="10">
        <v>2800</v>
      </c>
      <c r="M69" s="13">
        <v>3</v>
      </c>
      <c r="N69" s="10">
        <v>3100000000000</v>
      </c>
    </row>
    <row r="70" spans="1:14" ht="21" x14ac:dyDescent="0.25">
      <c r="A70" s="8" t="s">
        <v>96</v>
      </c>
      <c r="B70" s="8" t="s">
        <v>10</v>
      </c>
      <c r="C70" s="8" t="s">
        <v>17</v>
      </c>
      <c r="D70" s="8" t="s">
        <v>214</v>
      </c>
      <c r="E70" s="8" t="s">
        <v>220</v>
      </c>
      <c r="F70" s="9">
        <v>2400000</v>
      </c>
      <c r="G70" s="10">
        <v>250</v>
      </c>
      <c r="H70" s="8" t="s">
        <v>221</v>
      </c>
      <c r="I70" s="10">
        <v>720</v>
      </c>
      <c r="J70" s="8" t="s">
        <v>221</v>
      </c>
      <c r="K70" s="8" t="s">
        <v>224</v>
      </c>
      <c r="L70" s="10">
        <v>900</v>
      </c>
      <c r="M70" s="13">
        <v>4</v>
      </c>
      <c r="N70" s="10">
        <v>23000000000</v>
      </c>
    </row>
    <row r="71" spans="1:14" ht="21" x14ac:dyDescent="0.25">
      <c r="A71" s="8" t="s">
        <v>97</v>
      </c>
      <c r="B71" s="8" t="s">
        <v>10</v>
      </c>
      <c r="C71" s="8" t="s">
        <v>42</v>
      </c>
      <c r="D71" s="8" t="s">
        <v>213</v>
      </c>
      <c r="E71" s="8" t="s">
        <v>219</v>
      </c>
      <c r="F71" s="9">
        <v>2800000</v>
      </c>
      <c r="G71" s="10">
        <v>60</v>
      </c>
      <c r="H71" s="8" t="s">
        <v>237</v>
      </c>
      <c r="I71" s="10">
        <v>180</v>
      </c>
      <c r="J71" s="8" t="s">
        <v>239</v>
      </c>
      <c r="K71" s="8" t="s">
        <v>239</v>
      </c>
      <c r="L71" s="10">
        <v>220</v>
      </c>
      <c r="M71" s="13">
        <v>5</v>
      </c>
      <c r="N71" s="10">
        <v>5000000000</v>
      </c>
    </row>
    <row r="72" spans="1:14" ht="21" x14ac:dyDescent="0.25">
      <c r="A72" s="8" t="s">
        <v>98</v>
      </c>
      <c r="B72" s="8" t="s">
        <v>4</v>
      </c>
      <c r="C72" s="8" t="s">
        <v>25</v>
      </c>
      <c r="D72" s="8" t="s">
        <v>214</v>
      </c>
      <c r="E72" s="8" t="s">
        <v>220</v>
      </c>
      <c r="F72" s="9">
        <v>3700000</v>
      </c>
      <c r="G72" s="10">
        <v>300</v>
      </c>
      <c r="H72" s="8" t="s">
        <v>224</v>
      </c>
      <c r="I72" s="10">
        <v>720</v>
      </c>
      <c r="J72" s="8" t="s">
        <v>221</v>
      </c>
      <c r="K72" s="8" t="s">
        <v>221</v>
      </c>
      <c r="L72" s="10">
        <v>520</v>
      </c>
      <c r="M72" s="13">
        <v>4</v>
      </c>
      <c r="N72" s="10">
        <v>42000000000</v>
      </c>
    </row>
    <row r="73" spans="1:14" ht="21" x14ac:dyDescent="0.25">
      <c r="A73" s="8" t="s">
        <v>99</v>
      </c>
      <c r="B73" s="8" t="s">
        <v>7</v>
      </c>
      <c r="C73" s="8" t="s">
        <v>30</v>
      </c>
      <c r="D73" s="8" t="s">
        <v>215</v>
      </c>
      <c r="E73" s="8" t="s">
        <v>221</v>
      </c>
      <c r="F73" s="9">
        <v>84000000</v>
      </c>
      <c r="G73" s="10">
        <v>2100</v>
      </c>
      <c r="H73" s="8" t="s">
        <v>219</v>
      </c>
      <c r="I73" s="10">
        <v>4300</v>
      </c>
      <c r="J73" s="8" t="s">
        <v>219</v>
      </c>
      <c r="K73" s="8" t="s">
        <v>219</v>
      </c>
      <c r="L73" s="10">
        <v>2900</v>
      </c>
      <c r="M73" s="13">
        <v>3</v>
      </c>
      <c r="N73" s="10">
        <v>4600000000000</v>
      </c>
    </row>
    <row r="74" spans="1:14" ht="21" x14ac:dyDescent="0.25">
      <c r="A74" s="8" t="s">
        <v>100</v>
      </c>
      <c r="B74" s="8" t="s">
        <v>10</v>
      </c>
      <c r="C74" s="8" t="s">
        <v>42</v>
      </c>
      <c r="D74" s="8" t="s">
        <v>214</v>
      </c>
      <c r="E74" s="8" t="s">
        <v>220</v>
      </c>
      <c r="F74" s="9">
        <v>34000000</v>
      </c>
      <c r="G74" s="10">
        <v>80</v>
      </c>
      <c r="H74" s="8" t="s">
        <v>237</v>
      </c>
      <c r="I74" s="10">
        <v>240</v>
      </c>
      <c r="J74" s="8" t="s">
        <v>239</v>
      </c>
      <c r="K74" s="8" t="s">
        <v>221</v>
      </c>
      <c r="L74" s="10">
        <v>400</v>
      </c>
      <c r="M74" s="13">
        <v>20</v>
      </c>
      <c r="N74" s="10">
        <v>90000000000</v>
      </c>
    </row>
    <row r="75" spans="1:14" ht="21" x14ac:dyDescent="0.25">
      <c r="A75" s="8" t="s">
        <v>101</v>
      </c>
      <c r="B75" s="8" t="s">
        <v>7</v>
      </c>
      <c r="C75" s="8" t="s">
        <v>8</v>
      </c>
      <c r="D75" s="8" t="s">
        <v>215</v>
      </c>
      <c r="E75" s="8" t="s">
        <v>221</v>
      </c>
      <c r="F75" s="9">
        <v>10300000</v>
      </c>
      <c r="G75" s="10">
        <v>950</v>
      </c>
      <c r="H75" s="8" t="s">
        <v>220</v>
      </c>
      <c r="I75" s="10">
        <v>1800</v>
      </c>
      <c r="J75" s="8" t="s">
        <v>224</v>
      </c>
      <c r="K75" s="8" t="s">
        <v>220</v>
      </c>
      <c r="L75" s="10">
        <v>1600</v>
      </c>
      <c r="M75" s="13">
        <v>3</v>
      </c>
      <c r="N75" s="10">
        <v>290000000000</v>
      </c>
    </row>
    <row r="76" spans="1:14" ht="21" x14ac:dyDescent="0.25">
      <c r="A76" s="8" t="s">
        <v>102</v>
      </c>
      <c r="B76" s="8" t="s">
        <v>19</v>
      </c>
      <c r="C76" s="8" t="s">
        <v>20</v>
      </c>
      <c r="D76" s="8" t="s">
        <v>214</v>
      </c>
      <c r="E76" s="8" t="s">
        <v>220</v>
      </c>
      <c r="F76" s="9">
        <v>125000</v>
      </c>
      <c r="G76" s="10">
        <v>500</v>
      </c>
      <c r="H76" s="8" t="s">
        <v>224</v>
      </c>
      <c r="I76" s="10">
        <v>1200</v>
      </c>
      <c r="J76" s="8" t="s">
        <v>221</v>
      </c>
      <c r="K76" s="8" t="s">
        <v>220</v>
      </c>
      <c r="L76" s="10">
        <v>1500</v>
      </c>
      <c r="M76" s="13">
        <v>3</v>
      </c>
      <c r="N76" s="10">
        <v>2000000000</v>
      </c>
    </row>
    <row r="77" spans="1:14" ht="21" x14ac:dyDescent="0.25">
      <c r="A77" s="8" t="s">
        <v>104</v>
      </c>
      <c r="B77" s="8" t="s">
        <v>19</v>
      </c>
      <c r="C77" s="8" t="s">
        <v>40</v>
      </c>
      <c r="D77" s="8" t="s">
        <v>214</v>
      </c>
      <c r="E77" s="8" t="s">
        <v>220</v>
      </c>
      <c r="F77" s="9">
        <v>18000000</v>
      </c>
      <c r="G77" s="10">
        <v>450</v>
      </c>
      <c r="H77" s="8" t="s">
        <v>224</v>
      </c>
      <c r="I77" s="10">
        <v>800</v>
      </c>
      <c r="J77" s="8" t="s">
        <v>221</v>
      </c>
      <c r="K77" s="8" t="s">
        <v>221</v>
      </c>
      <c r="L77" s="10">
        <v>520</v>
      </c>
      <c r="M77" s="13">
        <v>4</v>
      </c>
      <c r="N77" s="10">
        <v>130000000000</v>
      </c>
    </row>
    <row r="78" spans="1:14" ht="21" x14ac:dyDescent="0.25">
      <c r="A78" s="8" t="s">
        <v>105</v>
      </c>
      <c r="B78" s="8" t="s">
        <v>10</v>
      </c>
      <c r="C78" s="8" t="s">
        <v>42</v>
      </c>
      <c r="D78" s="8" t="s">
        <v>213</v>
      </c>
      <c r="E78" s="8" t="s">
        <v>219</v>
      </c>
      <c r="F78" s="9">
        <v>14000000</v>
      </c>
      <c r="G78" s="10">
        <v>70</v>
      </c>
      <c r="H78" s="8" t="s">
        <v>237</v>
      </c>
      <c r="I78" s="10">
        <v>180</v>
      </c>
      <c r="J78" s="8" t="s">
        <v>239</v>
      </c>
      <c r="K78" s="8" t="s">
        <v>239</v>
      </c>
      <c r="L78" s="10">
        <v>220</v>
      </c>
      <c r="M78" s="13">
        <v>8</v>
      </c>
      <c r="N78" s="10">
        <v>38000000000</v>
      </c>
    </row>
    <row r="79" spans="1:14" ht="21" x14ac:dyDescent="0.25">
      <c r="A79" s="8" t="s">
        <v>106</v>
      </c>
      <c r="B79" s="8" t="s">
        <v>10</v>
      </c>
      <c r="C79" s="8" t="s">
        <v>42</v>
      </c>
      <c r="D79" s="8" t="s">
        <v>213</v>
      </c>
      <c r="E79" s="8" t="s">
        <v>219</v>
      </c>
      <c r="F79" s="9">
        <v>2200000</v>
      </c>
      <c r="G79" s="10">
        <v>60</v>
      </c>
      <c r="H79" s="8" t="s">
        <v>237</v>
      </c>
      <c r="I79" s="10">
        <v>150</v>
      </c>
      <c r="J79" s="8" t="s">
        <v>239</v>
      </c>
      <c r="K79" s="8" t="s">
        <v>239</v>
      </c>
      <c r="L79" s="10">
        <v>200</v>
      </c>
      <c r="M79" s="13">
        <v>5</v>
      </c>
      <c r="N79" s="10">
        <v>2200000000</v>
      </c>
    </row>
    <row r="80" spans="1:14" ht="21" x14ac:dyDescent="0.25">
      <c r="A80" s="8" t="s">
        <v>107</v>
      </c>
      <c r="B80" s="8" t="s">
        <v>23</v>
      </c>
      <c r="C80" s="8" t="s">
        <v>23</v>
      </c>
      <c r="D80" s="8" t="s">
        <v>216</v>
      </c>
      <c r="E80" s="8" t="s">
        <v>222</v>
      </c>
      <c r="F80" s="9">
        <v>800000</v>
      </c>
      <c r="G80" s="10">
        <v>500</v>
      </c>
      <c r="H80" s="8" t="s">
        <v>224</v>
      </c>
      <c r="I80" s="10">
        <v>1300</v>
      </c>
      <c r="J80" s="8" t="s">
        <v>221</v>
      </c>
      <c r="K80" s="8" t="s">
        <v>224</v>
      </c>
      <c r="L80" s="10">
        <v>650</v>
      </c>
      <c r="M80" s="13">
        <v>4</v>
      </c>
      <c r="N80" s="10">
        <v>25000000000</v>
      </c>
    </row>
    <row r="81" spans="1:14" ht="21" x14ac:dyDescent="0.25">
      <c r="A81" s="8" t="s">
        <v>108</v>
      </c>
      <c r="B81" s="8" t="s">
        <v>19</v>
      </c>
      <c r="C81" s="8" t="s">
        <v>20</v>
      </c>
      <c r="D81" s="8" t="s">
        <v>213</v>
      </c>
      <c r="E81" s="8" t="s">
        <v>219</v>
      </c>
      <c r="F81" s="9">
        <v>11500000</v>
      </c>
      <c r="G81" s="10">
        <v>120</v>
      </c>
      <c r="H81" s="8" t="s">
        <v>237</v>
      </c>
      <c r="I81" s="10">
        <v>220</v>
      </c>
      <c r="J81" s="8" t="s">
        <v>239</v>
      </c>
      <c r="K81" s="8" t="s">
        <v>239</v>
      </c>
      <c r="L81" s="10">
        <v>240</v>
      </c>
      <c r="M81" s="13">
        <v>18</v>
      </c>
      <c r="N81" s="10">
        <v>20000000000</v>
      </c>
    </row>
    <row r="82" spans="1:14" ht="21" x14ac:dyDescent="0.25">
      <c r="A82" s="8" t="s">
        <v>109</v>
      </c>
      <c r="B82" s="8" t="s">
        <v>19</v>
      </c>
      <c r="C82" s="8" t="s">
        <v>40</v>
      </c>
      <c r="D82" s="8" t="s">
        <v>214</v>
      </c>
      <c r="E82" s="8" t="s">
        <v>220</v>
      </c>
      <c r="F82" s="9">
        <v>10600000</v>
      </c>
      <c r="G82" s="10">
        <v>350</v>
      </c>
      <c r="H82" s="8" t="s">
        <v>224</v>
      </c>
      <c r="I82" s="10">
        <v>750</v>
      </c>
      <c r="J82" s="8" t="s">
        <v>221</v>
      </c>
      <c r="K82" s="8" t="s">
        <v>221</v>
      </c>
      <c r="L82" s="10">
        <v>500</v>
      </c>
      <c r="M82" s="13">
        <v>5</v>
      </c>
      <c r="N82" s="10">
        <v>70000000000</v>
      </c>
    </row>
    <row r="83" spans="1:14" ht="21" x14ac:dyDescent="0.25">
      <c r="A83" s="8" t="s">
        <v>110</v>
      </c>
      <c r="B83" s="8" t="s">
        <v>4</v>
      </c>
      <c r="C83" s="8" t="s">
        <v>67</v>
      </c>
      <c r="D83" s="8" t="s">
        <v>215</v>
      </c>
      <c r="E83" s="8" t="s">
        <v>221</v>
      </c>
      <c r="F83" s="9">
        <v>7500000</v>
      </c>
      <c r="G83" s="10">
        <v>900</v>
      </c>
      <c r="H83" s="8" t="s">
        <v>220</v>
      </c>
      <c r="I83" s="10">
        <v>3200</v>
      </c>
      <c r="J83" s="8" t="s">
        <v>220</v>
      </c>
      <c r="K83" s="8" t="s">
        <v>219</v>
      </c>
      <c r="L83" s="10">
        <v>3000</v>
      </c>
      <c r="M83" s="13">
        <v>2</v>
      </c>
      <c r="N83" s="10">
        <v>430000000000</v>
      </c>
    </row>
    <row r="84" spans="1:14" ht="21" x14ac:dyDescent="0.25">
      <c r="A84" s="8" t="s">
        <v>111</v>
      </c>
      <c r="B84" s="8" t="s">
        <v>7</v>
      </c>
      <c r="C84" s="8" t="s">
        <v>37</v>
      </c>
      <c r="D84" s="8" t="s">
        <v>215</v>
      </c>
      <c r="E84" s="8" t="s">
        <v>221</v>
      </c>
      <c r="F84" s="9">
        <v>9600000</v>
      </c>
      <c r="G84" s="10">
        <v>800</v>
      </c>
      <c r="H84" s="8" t="s">
        <v>220</v>
      </c>
      <c r="I84" s="10">
        <v>1900</v>
      </c>
      <c r="J84" s="8" t="s">
        <v>224</v>
      </c>
      <c r="K84" s="8" t="s">
        <v>224</v>
      </c>
      <c r="L84" s="10">
        <v>1500</v>
      </c>
      <c r="M84" s="13">
        <v>4</v>
      </c>
      <c r="N84" s="10">
        <v>300000000000</v>
      </c>
    </row>
    <row r="85" spans="1:14" ht="21" x14ac:dyDescent="0.25">
      <c r="A85" s="8" t="s">
        <v>112</v>
      </c>
      <c r="B85" s="8" t="s">
        <v>7</v>
      </c>
      <c r="C85" s="8" t="s">
        <v>80</v>
      </c>
      <c r="D85" s="8" t="s">
        <v>215</v>
      </c>
      <c r="E85" s="8" t="s">
        <v>221</v>
      </c>
      <c r="F85" s="9">
        <v>390000</v>
      </c>
      <c r="G85" s="10">
        <v>0</v>
      </c>
      <c r="H85" s="8" t="s">
        <v>219</v>
      </c>
      <c r="I85" s="10">
        <v>5600</v>
      </c>
      <c r="J85" s="8" t="s">
        <v>219</v>
      </c>
      <c r="K85" s="8" t="s">
        <v>219</v>
      </c>
      <c r="L85" s="10">
        <v>3500</v>
      </c>
      <c r="M85" s="13">
        <v>3</v>
      </c>
      <c r="N85" s="10">
        <v>36000000000</v>
      </c>
    </row>
    <row r="86" spans="1:14" ht="21" x14ac:dyDescent="0.25">
      <c r="A86" s="8" t="s">
        <v>113</v>
      </c>
      <c r="B86" s="8" t="s">
        <v>4</v>
      </c>
      <c r="C86" s="8" t="s">
        <v>5</v>
      </c>
      <c r="D86" s="8" t="s">
        <v>214</v>
      </c>
      <c r="E86" s="8" t="s">
        <v>220</v>
      </c>
      <c r="F86" s="9">
        <v>1440000000</v>
      </c>
      <c r="G86" s="10">
        <v>100</v>
      </c>
      <c r="H86" s="8" t="s">
        <v>237</v>
      </c>
      <c r="I86" s="10">
        <v>360</v>
      </c>
      <c r="J86" s="8" t="s">
        <v>239</v>
      </c>
      <c r="K86" s="8" t="s">
        <v>239</v>
      </c>
      <c r="L86" s="10">
        <v>300</v>
      </c>
      <c r="M86" s="13">
        <v>5</v>
      </c>
      <c r="N86" s="10">
        <v>4200000000000</v>
      </c>
    </row>
    <row r="87" spans="1:14" ht="21" x14ac:dyDescent="0.25">
      <c r="A87" s="8" t="s">
        <v>114</v>
      </c>
      <c r="B87" s="8" t="s">
        <v>4</v>
      </c>
      <c r="C87" s="8" t="s">
        <v>51</v>
      </c>
      <c r="D87" s="8" t="s">
        <v>216</v>
      </c>
      <c r="E87" s="8" t="s">
        <v>222</v>
      </c>
      <c r="F87" s="9">
        <v>278000000</v>
      </c>
      <c r="G87" s="10">
        <v>200</v>
      </c>
      <c r="H87" s="8" t="s">
        <v>221</v>
      </c>
      <c r="I87" s="10">
        <v>640</v>
      </c>
      <c r="J87" s="8" t="s">
        <v>221</v>
      </c>
      <c r="K87" s="8" t="s">
        <v>221</v>
      </c>
      <c r="L87" s="10">
        <v>600</v>
      </c>
      <c r="M87" s="13">
        <v>3</v>
      </c>
      <c r="N87" s="10">
        <v>1450000000000</v>
      </c>
    </row>
    <row r="88" spans="1:14" ht="21" x14ac:dyDescent="0.25">
      <c r="A88" s="8" t="s">
        <v>115</v>
      </c>
      <c r="B88" s="8" t="s">
        <v>4</v>
      </c>
      <c r="C88" s="8" t="s">
        <v>25</v>
      </c>
      <c r="D88" s="8" t="s">
        <v>216</v>
      </c>
      <c r="E88" s="8" t="s">
        <v>222</v>
      </c>
      <c r="F88" s="9">
        <v>89000000</v>
      </c>
      <c r="G88" s="10">
        <v>200</v>
      </c>
      <c r="H88" s="8" t="s">
        <v>221</v>
      </c>
      <c r="I88" s="10">
        <v>560</v>
      </c>
      <c r="J88" s="8" t="s">
        <v>221</v>
      </c>
      <c r="K88" s="8" t="s">
        <v>221</v>
      </c>
      <c r="L88" s="10">
        <v>500</v>
      </c>
      <c r="M88" s="13">
        <v>35</v>
      </c>
      <c r="N88" s="10">
        <v>430000000000</v>
      </c>
    </row>
    <row r="89" spans="1:14" ht="21" x14ac:dyDescent="0.25">
      <c r="A89" s="8" t="s">
        <v>116</v>
      </c>
      <c r="B89" s="8" t="s">
        <v>4</v>
      </c>
      <c r="C89" s="8" t="s">
        <v>25</v>
      </c>
      <c r="D89" s="8" t="s">
        <v>214</v>
      </c>
      <c r="E89" s="8" t="s">
        <v>220</v>
      </c>
      <c r="F89" s="9">
        <v>45000000</v>
      </c>
      <c r="G89" s="10">
        <v>300</v>
      </c>
      <c r="H89" s="8" t="s">
        <v>224</v>
      </c>
      <c r="I89" s="10">
        <v>720</v>
      </c>
      <c r="J89" s="8" t="s">
        <v>221</v>
      </c>
      <c r="K89" s="8" t="s">
        <v>221</v>
      </c>
      <c r="L89" s="10">
        <v>600</v>
      </c>
      <c r="M89" s="13">
        <v>4</v>
      </c>
      <c r="N89" s="10">
        <v>320000000000</v>
      </c>
    </row>
    <row r="90" spans="1:14" ht="21" x14ac:dyDescent="0.25">
      <c r="A90" s="8" t="s">
        <v>117</v>
      </c>
      <c r="B90" s="8" t="s">
        <v>7</v>
      </c>
      <c r="C90" s="8" t="s">
        <v>80</v>
      </c>
      <c r="D90" s="8" t="s">
        <v>215</v>
      </c>
      <c r="E90" s="8" t="s">
        <v>221</v>
      </c>
      <c r="F90" s="9">
        <v>5300000</v>
      </c>
      <c r="G90" s="10">
        <v>2000</v>
      </c>
      <c r="H90" s="8" t="s">
        <v>219</v>
      </c>
      <c r="I90" s="10">
        <v>5200</v>
      </c>
      <c r="J90" s="8" t="s">
        <v>219</v>
      </c>
      <c r="K90" s="8" t="s">
        <v>219</v>
      </c>
      <c r="L90" s="10">
        <v>3000</v>
      </c>
      <c r="M90" s="13">
        <v>3</v>
      </c>
      <c r="N90" s="10">
        <v>720000000000</v>
      </c>
    </row>
    <row r="91" spans="1:14" ht="21" x14ac:dyDescent="0.25">
      <c r="A91" s="8" t="s">
        <v>118</v>
      </c>
      <c r="B91" s="8" t="s">
        <v>4</v>
      </c>
      <c r="C91" s="8" t="s">
        <v>25</v>
      </c>
      <c r="D91" s="8" t="s">
        <v>215</v>
      </c>
      <c r="E91" s="8" t="s">
        <v>221</v>
      </c>
      <c r="F91" s="9">
        <v>9800000</v>
      </c>
      <c r="G91" s="10">
        <v>1700</v>
      </c>
      <c r="H91" s="8" t="s">
        <v>219</v>
      </c>
      <c r="I91" s="10">
        <v>4800</v>
      </c>
      <c r="J91" s="8" t="s">
        <v>219</v>
      </c>
      <c r="K91" s="8" t="s">
        <v>219</v>
      </c>
      <c r="L91" s="10">
        <v>3500</v>
      </c>
      <c r="M91" s="13">
        <v>3</v>
      </c>
      <c r="N91" s="10">
        <v>610000000000</v>
      </c>
    </row>
    <row r="92" spans="1:14" ht="21" x14ac:dyDescent="0.25">
      <c r="A92" s="8" t="s">
        <v>119</v>
      </c>
      <c r="B92" s="8" t="s">
        <v>7</v>
      </c>
      <c r="C92" s="8" t="s">
        <v>8</v>
      </c>
      <c r="D92" s="8" t="s">
        <v>215</v>
      </c>
      <c r="E92" s="8" t="s">
        <v>221</v>
      </c>
      <c r="F92" s="9">
        <v>59000000</v>
      </c>
      <c r="G92" s="10">
        <v>0</v>
      </c>
      <c r="H92" s="8" t="s">
        <v>219</v>
      </c>
      <c r="I92" s="10">
        <v>3200</v>
      </c>
      <c r="J92" s="8" t="s">
        <v>220</v>
      </c>
      <c r="K92" s="8" t="s">
        <v>220</v>
      </c>
      <c r="L92" s="10">
        <v>2500</v>
      </c>
      <c r="M92" s="13">
        <v>3</v>
      </c>
      <c r="N92" s="10">
        <v>2300000000000</v>
      </c>
    </row>
    <row r="93" spans="1:14" ht="21" x14ac:dyDescent="0.25">
      <c r="A93" s="8" t="s">
        <v>120</v>
      </c>
      <c r="B93" s="8" t="s">
        <v>19</v>
      </c>
      <c r="C93" s="8" t="s">
        <v>20</v>
      </c>
      <c r="D93" s="8" t="s">
        <v>214</v>
      </c>
      <c r="E93" s="8" t="s">
        <v>220</v>
      </c>
      <c r="F93" s="9">
        <v>2800000</v>
      </c>
      <c r="G93" s="10">
        <v>300</v>
      </c>
      <c r="H93" s="8" t="s">
        <v>224</v>
      </c>
      <c r="I93" s="10">
        <v>880</v>
      </c>
      <c r="J93" s="8" t="s">
        <v>221</v>
      </c>
      <c r="K93" s="8" t="s">
        <v>224</v>
      </c>
      <c r="L93" s="10">
        <v>900</v>
      </c>
      <c r="M93" s="13">
        <v>6</v>
      </c>
      <c r="N93" s="10">
        <v>22000000000</v>
      </c>
    </row>
    <row r="94" spans="1:14" ht="21" x14ac:dyDescent="0.25">
      <c r="A94" s="8" t="s">
        <v>121</v>
      </c>
      <c r="B94" s="8" t="s">
        <v>4</v>
      </c>
      <c r="C94" s="8" t="s">
        <v>67</v>
      </c>
      <c r="D94" s="8" t="s">
        <v>215</v>
      </c>
      <c r="E94" s="8" t="s">
        <v>221</v>
      </c>
      <c r="F94" s="9">
        <v>123000000</v>
      </c>
      <c r="G94" s="10">
        <v>1500</v>
      </c>
      <c r="H94" s="8" t="s">
        <v>219</v>
      </c>
      <c r="I94" s="10">
        <v>4200</v>
      </c>
      <c r="J94" s="8" t="s">
        <v>219</v>
      </c>
      <c r="K94" s="8" t="s">
        <v>219</v>
      </c>
      <c r="L94" s="10">
        <v>3200</v>
      </c>
      <c r="M94" s="13">
        <v>3</v>
      </c>
      <c r="N94" s="10">
        <v>4300000000000</v>
      </c>
    </row>
    <row r="95" spans="1:14" ht="21" x14ac:dyDescent="0.25">
      <c r="A95" s="8" t="s">
        <v>122</v>
      </c>
      <c r="B95" s="8" t="s">
        <v>4</v>
      </c>
      <c r="C95" s="8" t="s">
        <v>25</v>
      </c>
      <c r="D95" s="8" t="s">
        <v>214</v>
      </c>
      <c r="E95" s="8" t="s">
        <v>220</v>
      </c>
      <c r="F95" s="9">
        <v>11000000</v>
      </c>
      <c r="G95" s="10">
        <v>320</v>
      </c>
      <c r="H95" s="8" t="s">
        <v>224</v>
      </c>
      <c r="I95" s="10">
        <v>720</v>
      </c>
      <c r="J95" s="8" t="s">
        <v>221</v>
      </c>
      <c r="K95" s="8" t="s">
        <v>221</v>
      </c>
      <c r="L95" s="10">
        <v>520</v>
      </c>
      <c r="M95" s="13">
        <v>3</v>
      </c>
      <c r="N95" s="10">
        <v>60000000000</v>
      </c>
    </row>
    <row r="96" spans="1:14" ht="21" x14ac:dyDescent="0.25">
      <c r="A96" s="8" t="s">
        <v>123</v>
      </c>
      <c r="B96" s="8" t="s">
        <v>4</v>
      </c>
      <c r="C96" s="8" t="s">
        <v>124</v>
      </c>
      <c r="D96" s="8" t="s">
        <v>216</v>
      </c>
      <c r="E96" s="8" t="s">
        <v>222</v>
      </c>
      <c r="F96" s="9">
        <v>20000000</v>
      </c>
      <c r="G96" s="10">
        <v>250</v>
      </c>
      <c r="H96" s="8" t="s">
        <v>221</v>
      </c>
      <c r="I96" s="10">
        <v>900</v>
      </c>
      <c r="J96" s="8" t="s">
        <v>221</v>
      </c>
      <c r="K96" s="8" t="s">
        <v>221</v>
      </c>
      <c r="L96" s="10">
        <v>650</v>
      </c>
      <c r="M96" s="13">
        <v>6</v>
      </c>
      <c r="N96" s="10">
        <v>300000000000</v>
      </c>
    </row>
    <row r="97" spans="1:14" ht="21" x14ac:dyDescent="0.25">
      <c r="A97" s="8" t="s">
        <v>125</v>
      </c>
      <c r="B97" s="8" t="s">
        <v>10</v>
      </c>
      <c r="C97" s="8" t="s">
        <v>56</v>
      </c>
      <c r="D97" s="8" t="s">
        <v>214</v>
      </c>
      <c r="E97" s="8" t="s">
        <v>220</v>
      </c>
      <c r="F97" s="9">
        <v>55000000</v>
      </c>
      <c r="G97" s="10">
        <v>130</v>
      </c>
      <c r="H97" s="8" t="s">
        <v>221</v>
      </c>
      <c r="I97" s="10">
        <v>360</v>
      </c>
      <c r="J97" s="8" t="s">
        <v>239</v>
      </c>
      <c r="K97" s="8" t="s">
        <v>221</v>
      </c>
      <c r="L97" s="10">
        <v>350</v>
      </c>
      <c r="M97" s="13">
        <v>6</v>
      </c>
      <c r="N97" s="10">
        <v>120000000000</v>
      </c>
    </row>
    <row r="98" spans="1:14" ht="21" x14ac:dyDescent="0.25">
      <c r="A98" s="8" t="s">
        <v>126</v>
      </c>
      <c r="B98" s="8" t="s">
        <v>13</v>
      </c>
      <c r="C98" s="8" t="s">
        <v>103</v>
      </c>
      <c r="D98" s="8" t="s">
        <v>214</v>
      </c>
      <c r="E98" s="8" t="s">
        <v>220</v>
      </c>
      <c r="F98" s="9">
        <v>130000</v>
      </c>
      <c r="G98" s="10">
        <v>120</v>
      </c>
      <c r="H98" s="8" t="s">
        <v>221</v>
      </c>
      <c r="I98" s="10">
        <v>320</v>
      </c>
      <c r="J98" s="8" t="s">
        <v>239</v>
      </c>
      <c r="K98" s="8" t="s">
        <v>239</v>
      </c>
      <c r="L98" s="10">
        <v>300</v>
      </c>
      <c r="M98" s="13">
        <v>4</v>
      </c>
      <c r="N98" s="10">
        <v>350000000</v>
      </c>
    </row>
    <row r="99" spans="1:14" ht="21" x14ac:dyDescent="0.25">
      <c r="A99" s="8" t="s">
        <v>127</v>
      </c>
      <c r="B99" s="8" t="s">
        <v>4</v>
      </c>
      <c r="C99" s="8" t="s">
        <v>67</v>
      </c>
      <c r="D99" s="8" t="s">
        <v>213</v>
      </c>
      <c r="E99" s="8" t="s">
        <v>219</v>
      </c>
      <c r="F99" s="9">
        <v>26000000</v>
      </c>
      <c r="G99" s="10">
        <v>0</v>
      </c>
      <c r="H99" s="8" t="s">
        <v>237</v>
      </c>
      <c r="I99" s="10">
        <v>0</v>
      </c>
      <c r="J99" s="8" t="s">
        <v>239</v>
      </c>
      <c r="K99" s="8" t="s">
        <v>239</v>
      </c>
      <c r="L99" s="10">
        <v>180</v>
      </c>
      <c r="M99" s="13">
        <v>8</v>
      </c>
      <c r="N99" s="10">
        <v>35000000000</v>
      </c>
    </row>
    <row r="100" spans="1:14" ht="21" x14ac:dyDescent="0.25">
      <c r="A100" s="8" t="s">
        <v>128</v>
      </c>
      <c r="B100" s="8" t="s">
        <v>4</v>
      </c>
      <c r="C100" s="8" t="s">
        <v>67</v>
      </c>
      <c r="D100" s="8" t="s">
        <v>215</v>
      </c>
      <c r="E100" s="8" t="s">
        <v>221</v>
      </c>
      <c r="F100" s="9">
        <v>52000000</v>
      </c>
      <c r="G100" s="10">
        <v>1700</v>
      </c>
      <c r="H100" s="8" t="s">
        <v>219</v>
      </c>
      <c r="I100" s="10">
        <v>4000</v>
      </c>
      <c r="J100" s="8" t="s">
        <v>219</v>
      </c>
      <c r="K100" s="8" t="s">
        <v>219</v>
      </c>
      <c r="L100" s="10">
        <v>2800</v>
      </c>
      <c r="M100" s="13">
        <v>3</v>
      </c>
      <c r="N100" s="10">
        <v>1850000000000</v>
      </c>
    </row>
    <row r="101" spans="1:14" ht="21" x14ac:dyDescent="0.25">
      <c r="A101" s="8" t="s">
        <v>129</v>
      </c>
      <c r="B101" s="8" t="s">
        <v>4</v>
      </c>
      <c r="C101" s="8" t="s">
        <v>25</v>
      </c>
      <c r="D101" s="8" t="s">
        <v>215</v>
      </c>
      <c r="E101" s="8" t="s">
        <v>221</v>
      </c>
      <c r="F101" s="9">
        <v>4300000</v>
      </c>
      <c r="G101" s="10">
        <v>1600</v>
      </c>
      <c r="H101" s="8" t="s">
        <v>219</v>
      </c>
      <c r="I101" s="10">
        <v>4800</v>
      </c>
      <c r="J101" s="8" t="s">
        <v>219</v>
      </c>
      <c r="K101" s="8" t="s">
        <v>220</v>
      </c>
      <c r="L101" s="10">
        <v>2500</v>
      </c>
      <c r="M101" s="13">
        <v>2</v>
      </c>
      <c r="N101" s="10">
        <v>230000000000</v>
      </c>
    </row>
    <row r="102" spans="1:14" ht="21" x14ac:dyDescent="0.25">
      <c r="A102" s="8" t="s">
        <v>130</v>
      </c>
      <c r="B102" s="8" t="s">
        <v>4</v>
      </c>
      <c r="C102" s="8" t="s">
        <v>124</v>
      </c>
      <c r="D102" s="8" t="s">
        <v>214</v>
      </c>
      <c r="E102" s="8" t="s">
        <v>220</v>
      </c>
      <c r="F102" s="9">
        <v>7200000</v>
      </c>
      <c r="G102" s="10">
        <v>200</v>
      </c>
      <c r="H102" s="8" t="s">
        <v>221</v>
      </c>
      <c r="I102" s="10">
        <v>480</v>
      </c>
      <c r="J102" s="8" t="s">
        <v>239</v>
      </c>
      <c r="K102" s="8" t="s">
        <v>239</v>
      </c>
      <c r="L102" s="10">
        <v>300</v>
      </c>
      <c r="M102" s="13">
        <v>6</v>
      </c>
      <c r="N102" s="10">
        <v>22000000000</v>
      </c>
    </row>
    <row r="103" spans="1:14" ht="21" x14ac:dyDescent="0.25">
      <c r="A103" s="8" t="s">
        <v>131</v>
      </c>
      <c r="B103" s="8" t="s">
        <v>4</v>
      </c>
      <c r="C103" s="8" t="s">
        <v>51</v>
      </c>
      <c r="D103" s="8" t="s">
        <v>214</v>
      </c>
      <c r="E103" s="8" t="s">
        <v>220</v>
      </c>
      <c r="F103" s="9">
        <v>7700000</v>
      </c>
      <c r="G103" s="10">
        <v>180</v>
      </c>
      <c r="H103" s="8" t="s">
        <v>221</v>
      </c>
      <c r="I103" s="10">
        <v>400</v>
      </c>
      <c r="J103" s="8" t="s">
        <v>239</v>
      </c>
      <c r="K103" s="8" t="s">
        <v>239</v>
      </c>
      <c r="L103" s="10">
        <v>320</v>
      </c>
      <c r="M103" s="13">
        <v>4</v>
      </c>
      <c r="N103" s="10">
        <v>27000000000</v>
      </c>
    </row>
    <row r="104" spans="1:14" ht="21" x14ac:dyDescent="0.25">
      <c r="A104" s="8" t="s">
        <v>132</v>
      </c>
      <c r="B104" s="8" t="s">
        <v>7</v>
      </c>
      <c r="C104" s="8" t="s">
        <v>80</v>
      </c>
      <c r="D104" s="8" t="s">
        <v>215</v>
      </c>
      <c r="E104" s="8" t="s">
        <v>221</v>
      </c>
      <c r="F104" s="9">
        <v>1800000</v>
      </c>
      <c r="G104" s="10">
        <v>800</v>
      </c>
      <c r="H104" s="8" t="s">
        <v>220</v>
      </c>
      <c r="I104" s="10">
        <v>2000</v>
      </c>
      <c r="J104" s="8" t="s">
        <v>224</v>
      </c>
      <c r="K104" s="8" t="s">
        <v>224</v>
      </c>
      <c r="L104" s="10">
        <v>1400</v>
      </c>
      <c r="M104" s="13">
        <v>4</v>
      </c>
      <c r="N104" s="10">
        <v>60000000000</v>
      </c>
    </row>
    <row r="105" spans="1:14" ht="21" x14ac:dyDescent="0.25">
      <c r="A105" s="8" t="s">
        <v>133</v>
      </c>
      <c r="B105" s="8" t="s">
        <v>4</v>
      </c>
      <c r="C105" s="8" t="s">
        <v>25</v>
      </c>
      <c r="D105" s="8" t="s">
        <v>214</v>
      </c>
      <c r="E105" s="8" t="s">
        <v>220</v>
      </c>
      <c r="F105" s="9">
        <v>5600000</v>
      </c>
      <c r="G105" s="10">
        <v>50</v>
      </c>
      <c r="H105" s="8" t="s">
        <v>237</v>
      </c>
      <c r="I105" s="10">
        <v>120</v>
      </c>
      <c r="J105" s="8" t="s">
        <v>239</v>
      </c>
      <c r="K105" s="8" t="s">
        <v>220</v>
      </c>
      <c r="L105" s="10">
        <v>800</v>
      </c>
      <c r="M105" s="13">
        <v>120</v>
      </c>
      <c r="N105" s="10">
        <v>25000000000</v>
      </c>
    </row>
    <row r="106" spans="1:14" ht="21" x14ac:dyDescent="0.25">
      <c r="A106" s="8" t="s">
        <v>134</v>
      </c>
      <c r="B106" s="8" t="s">
        <v>10</v>
      </c>
      <c r="C106" s="8" t="s">
        <v>48</v>
      </c>
      <c r="D106" s="8" t="s">
        <v>213</v>
      </c>
      <c r="E106" s="8" t="s">
        <v>219</v>
      </c>
      <c r="F106" s="9">
        <v>2300000</v>
      </c>
      <c r="G106" s="10">
        <v>150</v>
      </c>
      <c r="H106" s="8" t="s">
        <v>221</v>
      </c>
      <c r="I106" s="10">
        <v>360</v>
      </c>
      <c r="J106" s="8" t="s">
        <v>239</v>
      </c>
      <c r="K106" s="8" t="s">
        <v>239</v>
      </c>
      <c r="L106" s="10">
        <v>300</v>
      </c>
      <c r="M106" s="13">
        <v>5</v>
      </c>
      <c r="N106" s="10">
        <v>5000000000</v>
      </c>
    </row>
    <row r="107" spans="1:14" ht="21" x14ac:dyDescent="0.25">
      <c r="A107" s="8" t="s">
        <v>135</v>
      </c>
      <c r="B107" s="8" t="s">
        <v>10</v>
      </c>
      <c r="C107" s="8" t="s">
        <v>42</v>
      </c>
      <c r="D107" s="8" t="s">
        <v>213</v>
      </c>
      <c r="E107" s="8" t="s">
        <v>219</v>
      </c>
      <c r="F107" s="9">
        <v>5400000</v>
      </c>
      <c r="G107" s="10">
        <v>90</v>
      </c>
      <c r="H107" s="8" t="s">
        <v>237</v>
      </c>
      <c r="I107" s="10">
        <v>210</v>
      </c>
      <c r="J107" s="8" t="s">
        <v>239</v>
      </c>
      <c r="K107" s="8" t="s">
        <v>239</v>
      </c>
      <c r="L107" s="10">
        <v>250</v>
      </c>
      <c r="M107" s="13">
        <v>6</v>
      </c>
      <c r="N107" s="10">
        <v>6000000000</v>
      </c>
    </row>
    <row r="108" spans="1:14" ht="21" x14ac:dyDescent="0.25">
      <c r="A108" s="8" t="s">
        <v>136</v>
      </c>
      <c r="B108" s="8" t="s">
        <v>10</v>
      </c>
      <c r="C108" s="8" t="s">
        <v>11</v>
      </c>
      <c r="D108" s="8" t="s">
        <v>214</v>
      </c>
      <c r="E108" s="8" t="s">
        <v>220</v>
      </c>
      <c r="F108" s="9">
        <v>7200000</v>
      </c>
      <c r="G108" s="10">
        <v>300</v>
      </c>
      <c r="H108" s="8" t="s">
        <v>224</v>
      </c>
      <c r="I108" s="10">
        <v>720</v>
      </c>
      <c r="J108" s="8" t="s">
        <v>221</v>
      </c>
      <c r="K108" s="8" t="s">
        <v>221</v>
      </c>
      <c r="L108" s="10">
        <v>450</v>
      </c>
      <c r="M108" s="13">
        <v>5</v>
      </c>
      <c r="N108" s="10">
        <v>85000000000</v>
      </c>
    </row>
    <row r="109" spans="1:14" ht="21" x14ac:dyDescent="0.25">
      <c r="A109" s="8" t="s">
        <v>137</v>
      </c>
      <c r="B109" s="8" t="s">
        <v>7</v>
      </c>
      <c r="C109" s="8" t="s">
        <v>30</v>
      </c>
      <c r="D109" s="8" t="s">
        <v>215</v>
      </c>
      <c r="E109" s="8" t="s">
        <v>221</v>
      </c>
      <c r="F109" s="9">
        <v>40000</v>
      </c>
      <c r="G109" s="10">
        <v>0</v>
      </c>
      <c r="H109" s="8" t="s">
        <v>219</v>
      </c>
      <c r="I109" s="10">
        <v>6500</v>
      </c>
      <c r="J109" s="8" t="s">
        <v>219</v>
      </c>
      <c r="K109" s="8" t="s">
        <v>219</v>
      </c>
      <c r="L109" s="10">
        <v>4200</v>
      </c>
      <c r="M109" s="13">
        <v>3</v>
      </c>
      <c r="N109" s="10">
        <v>6000000000</v>
      </c>
    </row>
    <row r="110" spans="1:14" ht="21" x14ac:dyDescent="0.25">
      <c r="A110" s="8" t="s">
        <v>138</v>
      </c>
      <c r="B110" s="8" t="s">
        <v>7</v>
      </c>
      <c r="C110" s="8" t="s">
        <v>80</v>
      </c>
      <c r="D110" s="8" t="s">
        <v>215</v>
      </c>
      <c r="E110" s="8" t="s">
        <v>221</v>
      </c>
      <c r="F110" s="9">
        <v>2800000</v>
      </c>
      <c r="G110" s="10">
        <v>900</v>
      </c>
      <c r="H110" s="8" t="s">
        <v>220</v>
      </c>
      <c r="I110" s="10">
        <v>2100</v>
      </c>
      <c r="J110" s="8" t="s">
        <v>224</v>
      </c>
      <c r="K110" s="8" t="s">
        <v>224</v>
      </c>
      <c r="L110" s="10">
        <v>1500</v>
      </c>
      <c r="M110" s="13">
        <v>4</v>
      </c>
      <c r="N110" s="10">
        <v>90000000000</v>
      </c>
    </row>
    <row r="111" spans="1:14" ht="21" x14ac:dyDescent="0.25">
      <c r="A111" s="8" t="s">
        <v>139</v>
      </c>
      <c r="B111" s="8" t="s">
        <v>7</v>
      </c>
      <c r="C111" s="8" t="s">
        <v>30</v>
      </c>
      <c r="D111" s="8" t="s">
        <v>215</v>
      </c>
      <c r="E111" s="8" t="s">
        <v>221</v>
      </c>
      <c r="F111" s="9">
        <v>660000</v>
      </c>
      <c r="G111" s="10">
        <v>2200</v>
      </c>
      <c r="H111" s="8" t="s">
        <v>219</v>
      </c>
      <c r="I111" s="10">
        <v>6000</v>
      </c>
      <c r="J111" s="8" t="s">
        <v>219</v>
      </c>
      <c r="K111" s="8" t="s">
        <v>219</v>
      </c>
      <c r="L111" s="10">
        <v>3500</v>
      </c>
      <c r="M111" s="13">
        <v>3</v>
      </c>
      <c r="N111" s="10">
        <v>125000000000</v>
      </c>
    </row>
    <row r="112" spans="1:14" ht="21" x14ac:dyDescent="0.25">
      <c r="A112" s="8" t="s">
        <v>140</v>
      </c>
      <c r="B112" s="8" t="s">
        <v>10</v>
      </c>
      <c r="C112" s="8" t="s">
        <v>56</v>
      </c>
      <c r="D112" s="8" t="s">
        <v>213</v>
      </c>
      <c r="E112" s="8" t="s">
        <v>219</v>
      </c>
      <c r="F112" s="9">
        <v>30000000</v>
      </c>
      <c r="G112" s="10">
        <v>60</v>
      </c>
      <c r="H112" s="8" t="s">
        <v>237</v>
      </c>
      <c r="I112" s="10">
        <v>180</v>
      </c>
      <c r="J112" s="8" t="s">
        <v>239</v>
      </c>
      <c r="K112" s="8" t="s">
        <v>239</v>
      </c>
      <c r="L112" s="10">
        <v>220</v>
      </c>
      <c r="M112" s="13">
        <v>7</v>
      </c>
      <c r="N112" s="10">
        <v>22000000000</v>
      </c>
    </row>
    <row r="113" spans="1:14" ht="21" x14ac:dyDescent="0.25">
      <c r="A113" s="8" t="s">
        <v>141</v>
      </c>
      <c r="B113" s="8" t="s">
        <v>10</v>
      </c>
      <c r="C113" s="8" t="s">
        <v>48</v>
      </c>
      <c r="D113" s="8" t="s">
        <v>213</v>
      </c>
      <c r="E113" s="8" t="s">
        <v>219</v>
      </c>
      <c r="F113" s="9">
        <v>21000000</v>
      </c>
      <c r="G113" s="10">
        <v>50</v>
      </c>
      <c r="H113" s="8" t="s">
        <v>237</v>
      </c>
      <c r="I113" s="10">
        <v>140</v>
      </c>
      <c r="J113" s="8" t="s">
        <v>239</v>
      </c>
      <c r="K113" s="8" t="s">
        <v>239</v>
      </c>
      <c r="L113" s="10">
        <v>200</v>
      </c>
      <c r="M113" s="13">
        <v>8</v>
      </c>
      <c r="N113" s="10">
        <v>18000000000</v>
      </c>
    </row>
    <row r="114" spans="1:14" ht="21" x14ac:dyDescent="0.25">
      <c r="A114" s="8" t="s">
        <v>142</v>
      </c>
      <c r="B114" s="8" t="s">
        <v>4</v>
      </c>
      <c r="C114" s="8" t="s">
        <v>51</v>
      </c>
      <c r="D114" s="8" t="s">
        <v>217</v>
      </c>
      <c r="E114" s="8" t="s">
        <v>222</v>
      </c>
      <c r="F114" s="9">
        <v>34000000</v>
      </c>
      <c r="G114" s="10">
        <v>400</v>
      </c>
      <c r="H114" s="8" t="s">
        <v>224</v>
      </c>
      <c r="I114" s="10">
        <v>1200</v>
      </c>
      <c r="J114" s="8" t="s">
        <v>224</v>
      </c>
      <c r="K114" s="8" t="s">
        <v>221</v>
      </c>
      <c r="L114" s="10">
        <v>900</v>
      </c>
      <c r="M114" s="13">
        <v>3</v>
      </c>
      <c r="N114" s="10">
        <v>440000000000</v>
      </c>
    </row>
    <row r="115" spans="1:14" ht="21" x14ac:dyDescent="0.25">
      <c r="A115" s="8" t="s">
        <v>143</v>
      </c>
      <c r="B115" s="8" t="s">
        <v>4</v>
      </c>
      <c r="C115" s="8" t="s">
        <v>5</v>
      </c>
      <c r="D115" s="8" t="s">
        <v>216</v>
      </c>
      <c r="E115" s="8" t="s">
        <v>222</v>
      </c>
      <c r="F115" s="9">
        <v>520000</v>
      </c>
      <c r="G115" s="10">
        <v>500</v>
      </c>
      <c r="H115" s="8" t="s">
        <v>224</v>
      </c>
      <c r="I115" s="10">
        <v>1350</v>
      </c>
      <c r="J115" s="8" t="s">
        <v>221</v>
      </c>
      <c r="K115" s="8" t="s">
        <v>220</v>
      </c>
      <c r="L115" s="10">
        <v>1600</v>
      </c>
      <c r="M115" s="13">
        <v>4</v>
      </c>
      <c r="N115" s="10">
        <v>8000000000</v>
      </c>
    </row>
    <row r="116" spans="1:14" ht="21" x14ac:dyDescent="0.25">
      <c r="A116" s="8" t="s">
        <v>144</v>
      </c>
      <c r="B116" s="8" t="s">
        <v>10</v>
      </c>
      <c r="C116" s="8" t="s">
        <v>42</v>
      </c>
      <c r="D116" s="8" t="s">
        <v>213</v>
      </c>
      <c r="E116" s="8" t="s">
        <v>219</v>
      </c>
      <c r="F116" s="9">
        <v>24000000</v>
      </c>
      <c r="G116" s="10">
        <v>70</v>
      </c>
      <c r="H116" s="8" t="s">
        <v>237</v>
      </c>
      <c r="I116" s="10">
        <v>170</v>
      </c>
      <c r="J116" s="8" t="s">
        <v>239</v>
      </c>
      <c r="K116" s="8" t="s">
        <v>239</v>
      </c>
      <c r="L116" s="10">
        <v>220</v>
      </c>
      <c r="M116" s="13">
        <v>4</v>
      </c>
      <c r="N116" s="10">
        <v>32000000000</v>
      </c>
    </row>
    <row r="117" spans="1:14" ht="21" x14ac:dyDescent="0.25">
      <c r="A117" s="8" t="s">
        <v>145</v>
      </c>
      <c r="B117" s="8" t="s">
        <v>7</v>
      </c>
      <c r="C117" s="8" t="s">
        <v>8</v>
      </c>
      <c r="D117" s="8" t="s">
        <v>215</v>
      </c>
      <c r="E117" s="8" t="s">
        <v>221</v>
      </c>
      <c r="F117" s="9">
        <v>540000</v>
      </c>
      <c r="G117" s="10">
        <v>1000</v>
      </c>
      <c r="H117" s="8" t="s">
        <v>220</v>
      </c>
      <c r="I117" s="10">
        <v>2800</v>
      </c>
      <c r="J117" s="8" t="s">
        <v>220</v>
      </c>
      <c r="K117" s="8" t="s">
        <v>220</v>
      </c>
      <c r="L117" s="10">
        <v>2000</v>
      </c>
      <c r="M117" s="13">
        <v>3</v>
      </c>
      <c r="N117" s="10">
        <v>65000000000</v>
      </c>
    </row>
    <row r="118" spans="1:14" ht="21" x14ac:dyDescent="0.25">
      <c r="A118" s="8" t="s">
        <v>146</v>
      </c>
      <c r="B118" s="8" t="s">
        <v>10</v>
      </c>
      <c r="C118" s="8" t="s">
        <v>56</v>
      </c>
      <c r="D118" s="8" t="s">
        <v>216</v>
      </c>
      <c r="E118" s="8" t="s">
        <v>222</v>
      </c>
      <c r="F118" s="9">
        <v>1300000</v>
      </c>
      <c r="G118" s="10">
        <v>450</v>
      </c>
      <c r="H118" s="8" t="s">
        <v>224</v>
      </c>
      <c r="I118" s="10">
        <v>1200</v>
      </c>
      <c r="J118" s="8" t="s">
        <v>221</v>
      </c>
      <c r="K118" s="8" t="s">
        <v>224</v>
      </c>
      <c r="L118" s="10">
        <v>1000</v>
      </c>
      <c r="M118" s="13">
        <v>4</v>
      </c>
      <c r="N118" s="10">
        <v>20000000000</v>
      </c>
    </row>
    <row r="119" spans="1:14" ht="21" x14ac:dyDescent="0.25">
      <c r="A119" s="8" t="s">
        <v>147</v>
      </c>
      <c r="B119" s="8" t="s">
        <v>19</v>
      </c>
      <c r="C119" s="8" t="s">
        <v>40</v>
      </c>
      <c r="D119" s="8" t="s">
        <v>216</v>
      </c>
      <c r="E119" s="8" t="s">
        <v>222</v>
      </c>
      <c r="F119" s="9">
        <v>129000000</v>
      </c>
      <c r="G119" s="10">
        <v>400</v>
      </c>
      <c r="H119" s="8" t="s">
        <v>224</v>
      </c>
      <c r="I119" s="10">
        <v>1050</v>
      </c>
      <c r="J119" s="8" t="s">
        <v>221</v>
      </c>
      <c r="K119" s="8" t="s">
        <v>224</v>
      </c>
      <c r="L119" s="10">
        <v>900</v>
      </c>
      <c r="M119" s="13">
        <v>5</v>
      </c>
      <c r="N119" s="10">
        <v>2000000000000</v>
      </c>
    </row>
    <row r="120" spans="1:14" ht="21" x14ac:dyDescent="0.25">
      <c r="A120" s="8" t="s">
        <v>148</v>
      </c>
      <c r="B120" s="8" t="s">
        <v>7</v>
      </c>
      <c r="C120" s="8" t="s">
        <v>37</v>
      </c>
      <c r="D120" s="8" t="s">
        <v>214</v>
      </c>
      <c r="E120" s="8" t="s">
        <v>220</v>
      </c>
      <c r="F120" s="9">
        <v>2500000</v>
      </c>
      <c r="G120" s="10">
        <v>250</v>
      </c>
      <c r="H120" s="8" t="s">
        <v>221</v>
      </c>
      <c r="I120" s="10">
        <v>560</v>
      </c>
      <c r="J120" s="8" t="s">
        <v>239</v>
      </c>
      <c r="K120" s="8" t="s">
        <v>239</v>
      </c>
      <c r="L120" s="10">
        <v>400</v>
      </c>
      <c r="M120" s="13">
        <v>6</v>
      </c>
      <c r="N120" s="10">
        <v>38000000000</v>
      </c>
    </row>
    <row r="121" spans="1:14" ht="21" x14ac:dyDescent="0.25">
      <c r="A121" s="8" t="s">
        <v>149</v>
      </c>
      <c r="B121" s="8" t="s">
        <v>7</v>
      </c>
      <c r="C121" s="8" t="s">
        <v>30</v>
      </c>
      <c r="D121" s="8" t="s">
        <v>215</v>
      </c>
      <c r="E121" s="8" t="s">
        <v>221</v>
      </c>
      <c r="F121" s="9">
        <v>39000</v>
      </c>
      <c r="G121" s="10">
        <v>0</v>
      </c>
      <c r="H121" s="8" t="s">
        <v>219</v>
      </c>
      <c r="I121" s="10">
        <v>7500</v>
      </c>
      <c r="J121" s="8" t="s">
        <v>219</v>
      </c>
      <c r="K121" s="8" t="s">
        <v>219</v>
      </c>
      <c r="L121" s="10">
        <v>5000</v>
      </c>
      <c r="M121" s="13">
        <v>3</v>
      </c>
      <c r="N121" s="10">
        <v>8000000000</v>
      </c>
    </row>
    <row r="122" spans="1:14" ht="21" x14ac:dyDescent="0.25">
      <c r="A122" s="8" t="s">
        <v>150</v>
      </c>
      <c r="B122" s="8" t="s">
        <v>4</v>
      </c>
      <c r="C122" s="8" t="s">
        <v>67</v>
      </c>
      <c r="D122" s="8" t="s">
        <v>214</v>
      </c>
      <c r="E122" s="8" t="s">
        <v>220</v>
      </c>
      <c r="F122" s="9">
        <v>3500000</v>
      </c>
      <c r="G122" s="10">
        <v>250</v>
      </c>
      <c r="H122" s="8" t="s">
        <v>221</v>
      </c>
      <c r="I122" s="10">
        <v>640</v>
      </c>
      <c r="J122" s="8" t="s">
        <v>239</v>
      </c>
      <c r="K122" s="8" t="s">
        <v>221</v>
      </c>
      <c r="L122" s="10">
        <v>650</v>
      </c>
      <c r="M122" s="13">
        <v>5</v>
      </c>
      <c r="N122" s="10">
        <v>55000000000</v>
      </c>
    </row>
    <row r="123" spans="1:14" ht="21" x14ac:dyDescent="0.25">
      <c r="A123" s="8" t="s">
        <v>151</v>
      </c>
      <c r="B123" s="8" t="s">
        <v>10</v>
      </c>
      <c r="C123" s="8" t="s">
        <v>11</v>
      </c>
      <c r="D123" s="8" t="s">
        <v>214</v>
      </c>
      <c r="E123" s="8" t="s">
        <v>220</v>
      </c>
      <c r="F123" s="9">
        <v>37000000</v>
      </c>
      <c r="G123" s="10">
        <v>320</v>
      </c>
      <c r="H123" s="8" t="s">
        <v>224</v>
      </c>
      <c r="I123" s="10">
        <v>720</v>
      </c>
      <c r="J123" s="8" t="s">
        <v>221</v>
      </c>
      <c r="K123" s="8" t="s">
        <v>221</v>
      </c>
      <c r="L123" s="10">
        <v>550</v>
      </c>
      <c r="M123" s="13">
        <v>4</v>
      </c>
      <c r="N123" s="10">
        <v>155000000000</v>
      </c>
    </row>
    <row r="124" spans="1:14" ht="21" x14ac:dyDescent="0.25">
      <c r="A124" s="8" t="s">
        <v>152</v>
      </c>
      <c r="B124" s="8" t="s">
        <v>10</v>
      </c>
      <c r="C124" s="8" t="s">
        <v>48</v>
      </c>
      <c r="D124" s="8" t="s">
        <v>213</v>
      </c>
      <c r="E124" s="8" t="s">
        <v>219</v>
      </c>
      <c r="F124" s="9">
        <v>33000000</v>
      </c>
      <c r="G124" s="10">
        <v>60</v>
      </c>
      <c r="H124" s="8" t="s">
        <v>237</v>
      </c>
      <c r="I124" s="10">
        <v>180</v>
      </c>
      <c r="J124" s="8" t="s">
        <v>239</v>
      </c>
      <c r="K124" s="8" t="s">
        <v>239</v>
      </c>
      <c r="L124" s="10">
        <v>250</v>
      </c>
      <c r="M124" s="13">
        <v>8</v>
      </c>
      <c r="N124" s="10">
        <v>22000000000</v>
      </c>
    </row>
    <row r="125" spans="1:14" ht="21" x14ac:dyDescent="0.25">
      <c r="A125" s="8" t="s">
        <v>153</v>
      </c>
      <c r="B125" s="8" t="s">
        <v>10</v>
      </c>
      <c r="C125" s="8" t="s">
        <v>48</v>
      </c>
      <c r="D125" s="8" t="s">
        <v>214</v>
      </c>
      <c r="E125" s="8" t="s">
        <v>220</v>
      </c>
      <c r="F125" s="9">
        <v>2700000</v>
      </c>
      <c r="G125" s="10">
        <v>200</v>
      </c>
      <c r="H125" s="8" t="s">
        <v>221</v>
      </c>
      <c r="I125" s="10">
        <v>640</v>
      </c>
      <c r="J125" s="8" t="s">
        <v>239</v>
      </c>
      <c r="K125" s="8" t="s">
        <v>221</v>
      </c>
      <c r="L125" s="10">
        <v>650</v>
      </c>
      <c r="M125" s="13">
        <v>5</v>
      </c>
      <c r="N125" s="10">
        <v>16000000000</v>
      </c>
    </row>
    <row r="126" spans="1:14" ht="21" x14ac:dyDescent="0.25">
      <c r="A126" s="8" t="s">
        <v>154</v>
      </c>
      <c r="B126" s="8" t="s">
        <v>4</v>
      </c>
      <c r="C126" s="8" t="s">
        <v>5</v>
      </c>
      <c r="D126" s="8" t="s">
        <v>214</v>
      </c>
      <c r="E126" s="8" t="s">
        <v>220</v>
      </c>
      <c r="F126" s="9">
        <v>31000000</v>
      </c>
      <c r="G126" s="10">
        <v>120</v>
      </c>
      <c r="H126" s="8" t="s">
        <v>221</v>
      </c>
      <c r="I126" s="10">
        <v>320</v>
      </c>
      <c r="J126" s="8" t="s">
        <v>239</v>
      </c>
      <c r="K126" s="8" t="s">
        <v>239</v>
      </c>
      <c r="L126" s="10">
        <v>280</v>
      </c>
      <c r="M126" s="13">
        <v>6</v>
      </c>
      <c r="N126" s="10">
        <v>48000000000</v>
      </c>
    </row>
    <row r="127" spans="1:14" ht="21" x14ac:dyDescent="0.25">
      <c r="A127" s="8" t="s">
        <v>155</v>
      </c>
      <c r="B127" s="8" t="s">
        <v>7</v>
      </c>
      <c r="C127" s="8" t="s">
        <v>30</v>
      </c>
      <c r="D127" s="8" t="s">
        <v>215</v>
      </c>
      <c r="E127" s="8" t="s">
        <v>221</v>
      </c>
      <c r="F127" s="9">
        <v>17900000</v>
      </c>
      <c r="G127" s="10">
        <v>2000</v>
      </c>
      <c r="H127" s="8" t="s">
        <v>219</v>
      </c>
      <c r="I127" s="10">
        <v>4800</v>
      </c>
      <c r="J127" s="8" t="s">
        <v>219</v>
      </c>
      <c r="K127" s="8" t="s">
        <v>219</v>
      </c>
      <c r="L127" s="10">
        <v>3000</v>
      </c>
      <c r="M127" s="13">
        <v>3</v>
      </c>
      <c r="N127" s="10">
        <v>1120000000000</v>
      </c>
    </row>
    <row r="128" spans="1:14" ht="21" x14ac:dyDescent="0.25">
      <c r="A128" s="8" t="s">
        <v>156</v>
      </c>
      <c r="B128" s="8" t="s">
        <v>13</v>
      </c>
      <c r="C128" s="8" t="s">
        <v>28</v>
      </c>
      <c r="D128" s="8" t="s">
        <v>215</v>
      </c>
      <c r="E128" s="8" t="s">
        <v>221</v>
      </c>
      <c r="F128" s="9">
        <v>5200000</v>
      </c>
      <c r="G128" s="10">
        <v>2200</v>
      </c>
      <c r="H128" s="8" t="s">
        <v>219</v>
      </c>
      <c r="I128" s="10">
        <v>4700</v>
      </c>
      <c r="J128" s="8" t="s">
        <v>219</v>
      </c>
      <c r="K128" s="8" t="s">
        <v>219</v>
      </c>
      <c r="L128" s="10">
        <v>3000</v>
      </c>
      <c r="M128" s="13">
        <v>3</v>
      </c>
      <c r="N128" s="10">
        <v>270000000000</v>
      </c>
    </row>
    <row r="129" spans="1:14" ht="21" x14ac:dyDescent="0.25">
      <c r="A129" s="8" t="s">
        <v>157</v>
      </c>
      <c r="B129" s="8" t="s">
        <v>19</v>
      </c>
      <c r="C129" s="8" t="s">
        <v>40</v>
      </c>
      <c r="D129" s="8" t="s">
        <v>214</v>
      </c>
      <c r="E129" s="8" t="s">
        <v>220</v>
      </c>
      <c r="F129" s="9">
        <v>6800000</v>
      </c>
      <c r="G129" s="10">
        <v>200</v>
      </c>
      <c r="H129" s="8" t="s">
        <v>221</v>
      </c>
      <c r="I129" s="10">
        <v>480</v>
      </c>
      <c r="J129" s="8" t="s">
        <v>239</v>
      </c>
      <c r="K129" s="8" t="s">
        <v>239</v>
      </c>
      <c r="L129" s="10">
        <v>350</v>
      </c>
      <c r="M129" s="13">
        <v>5</v>
      </c>
      <c r="N129" s="10">
        <v>27000000000</v>
      </c>
    </row>
    <row r="130" spans="1:14" ht="21" x14ac:dyDescent="0.25">
      <c r="A130" s="8" t="s">
        <v>158</v>
      </c>
      <c r="B130" s="8" t="s">
        <v>10</v>
      </c>
      <c r="C130" s="8" t="s">
        <v>42</v>
      </c>
      <c r="D130" s="8" t="s">
        <v>213</v>
      </c>
      <c r="E130" s="8" t="s">
        <v>219</v>
      </c>
      <c r="F130" s="9">
        <v>27000000</v>
      </c>
      <c r="G130" s="10">
        <v>50</v>
      </c>
      <c r="H130" s="8" t="s">
        <v>237</v>
      </c>
      <c r="I130" s="10">
        <v>130</v>
      </c>
      <c r="J130" s="8" t="s">
        <v>239</v>
      </c>
      <c r="K130" s="8" t="s">
        <v>239</v>
      </c>
      <c r="L130" s="10">
        <v>200</v>
      </c>
      <c r="M130" s="13">
        <v>4</v>
      </c>
      <c r="N130" s="10">
        <v>18000000000</v>
      </c>
    </row>
    <row r="131" spans="1:14" ht="21" x14ac:dyDescent="0.25">
      <c r="A131" s="8" t="s">
        <v>159</v>
      </c>
      <c r="B131" s="8" t="s">
        <v>10</v>
      </c>
      <c r="C131" s="8" t="s">
        <v>42</v>
      </c>
      <c r="D131" s="8" t="s">
        <v>214</v>
      </c>
      <c r="E131" s="8" t="s">
        <v>220</v>
      </c>
      <c r="F131" s="9">
        <v>229000000</v>
      </c>
      <c r="G131" s="10">
        <v>50</v>
      </c>
      <c r="H131" s="8" t="s">
        <v>237</v>
      </c>
      <c r="I131" s="10">
        <v>220</v>
      </c>
      <c r="J131" s="8" t="s">
        <v>239</v>
      </c>
      <c r="K131" s="8" t="s">
        <v>221</v>
      </c>
      <c r="L131" s="10">
        <v>450</v>
      </c>
      <c r="M131" s="13">
        <v>24</v>
      </c>
      <c r="N131" s="10">
        <v>560000000000</v>
      </c>
    </row>
    <row r="132" spans="1:14" ht="21" x14ac:dyDescent="0.25">
      <c r="A132" s="8" t="s">
        <v>160</v>
      </c>
      <c r="B132" s="8" t="s">
        <v>7</v>
      </c>
      <c r="C132" s="8" t="s">
        <v>80</v>
      </c>
      <c r="D132" s="8" t="s">
        <v>215</v>
      </c>
      <c r="E132" s="8" t="s">
        <v>221</v>
      </c>
      <c r="F132" s="9">
        <v>5500000</v>
      </c>
      <c r="G132" s="10">
        <v>0</v>
      </c>
      <c r="H132" s="8" t="s">
        <v>219</v>
      </c>
      <c r="I132" s="10">
        <v>5600</v>
      </c>
      <c r="J132" s="8" t="s">
        <v>219</v>
      </c>
      <c r="K132" s="8" t="s">
        <v>219</v>
      </c>
      <c r="L132" s="10">
        <v>3500</v>
      </c>
      <c r="M132" s="13">
        <v>3</v>
      </c>
      <c r="N132" s="10">
        <v>620000000000</v>
      </c>
    </row>
    <row r="133" spans="1:14" ht="21" x14ac:dyDescent="0.25">
      <c r="A133" s="8" t="s">
        <v>161</v>
      </c>
      <c r="B133" s="8" t="s">
        <v>4</v>
      </c>
      <c r="C133" s="8" t="s">
        <v>25</v>
      </c>
      <c r="D133" s="8" t="s">
        <v>215</v>
      </c>
      <c r="E133" s="8" t="s">
        <v>221</v>
      </c>
      <c r="F133" s="9">
        <v>5000000</v>
      </c>
      <c r="G133" s="10">
        <v>1100</v>
      </c>
      <c r="H133" s="8" t="s">
        <v>220</v>
      </c>
      <c r="I133" s="10">
        <v>3200</v>
      </c>
      <c r="J133" s="8" t="s">
        <v>220</v>
      </c>
      <c r="K133" s="8" t="s">
        <v>224</v>
      </c>
      <c r="L133" s="10">
        <v>2000</v>
      </c>
      <c r="M133" s="13">
        <v>2</v>
      </c>
      <c r="N133" s="10">
        <v>130000000000</v>
      </c>
    </row>
    <row r="134" spans="1:14" ht="21" x14ac:dyDescent="0.25">
      <c r="A134" s="8" t="s">
        <v>162</v>
      </c>
      <c r="B134" s="8" t="s">
        <v>4</v>
      </c>
      <c r="C134" s="8" t="s">
        <v>5</v>
      </c>
      <c r="D134" s="8" t="s">
        <v>214</v>
      </c>
      <c r="E134" s="8" t="s">
        <v>220</v>
      </c>
      <c r="F134" s="9">
        <v>242000000</v>
      </c>
      <c r="G134" s="10">
        <v>150</v>
      </c>
      <c r="H134" s="8" t="s">
        <v>221</v>
      </c>
      <c r="I134" s="10">
        <v>360</v>
      </c>
      <c r="J134" s="8" t="s">
        <v>239</v>
      </c>
      <c r="K134" s="8" t="s">
        <v>239</v>
      </c>
      <c r="L134" s="10">
        <v>250</v>
      </c>
      <c r="M134" s="13">
        <v>30</v>
      </c>
      <c r="N134" s="10">
        <v>450000000000</v>
      </c>
    </row>
    <row r="135" spans="1:14" ht="21" x14ac:dyDescent="0.25">
      <c r="A135" s="8" t="s">
        <v>163</v>
      </c>
      <c r="B135" s="8" t="s">
        <v>19</v>
      </c>
      <c r="C135" s="8" t="s">
        <v>40</v>
      </c>
      <c r="D135" s="8" t="s">
        <v>216</v>
      </c>
      <c r="E135" s="8" t="s">
        <v>222</v>
      </c>
      <c r="F135" s="9">
        <v>4400000</v>
      </c>
      <c r="G135" s="10">
        <v>700</v>
      </c>
      <c r="H135" s="8" t="s">
        <v>220</v>
      </c>
      <c r="I135" s="10">
        <v>1600</v>
      </c>
      <c r="J135" s="8" t="s">
        <v>224</v>
      </c>
      <c r="K135" s="8" t="s">
        <v>224</v>
      </c>
      <c r="L135" s="10">
        <v>1200</v>
      </c>
      <c r="M135" s="13">
        <v>3</v>
      </c>
      <c r="N135" s="10">
        <v>95000000000</v>
      </c>
    </row>
    <row r="136" spans="1:14" ht="21" x14ac:dyDescent="0.25">
      <c r="A136" s="8" t="s">
        <v>164</v>
      </c>
      <c r="B136" s="8" t="s">
        <v>13</v>
      </c>
      <c r="C136" s="8" t="s">
        <v>93</v>
      </c>
      <c r="D136" s="8" t="s">
        <v>213</v>
      </c>
      <c r="E136" s="8" t="s">
        <v>219</v>
      </c>
      <c r="F136" s="9">
        <v>10000000</v>
      </c>
      <c r="G136" s="10">
        <v>100</v>
      </c>
      <c r="H136" s="8" t="s">
        <v>237</v>
      </c>
      <c r="I136" s="10">
        <v>260</v>
      </c>
      <c r="J136" s="8" t="s">
        <v>239</v>
      </c>
      <c r="K136" s="8" t="s">
        <v>239</v>
      </c>
      <c r="L136" s="10">
        <v>450</v>
      </c>
      <c r="M136" s="13">
        <v>5</v>
      </c>
      <c r="N136" s="10">
        <v>32000000000</v>
      </c>
    </row>
    <row r="137" spans="1:14" ht="21" x14ac:dyDescent="0.25">
      <c r="A137" s="8" t="s">
        <v>165</v>
      </c>
      <c r="B137" s="8" t="s">
        <v>23</v>
      </c>
      <c r="C137" s="8" t="s">
        <v>23</v>
      </c>
      <c r="D137" s="8" t="s">
        <v>214</v>
      </c>
      <c r="E137" s="8" t="s">
        <v>220</v>
      </c>
      <c r="F137" s="9">
        <v>7200000</v>
      </c>
      <c r="G137" s="10">
        <v>300</v>
      </c>
      <c r="H137" s="8" t="s">
        <v>224</v>
      </c>
      <c r="I137" s="10">
        <v>720</v>
      </c>
      <c r="J137" s="8" t="s">
        <v>221</v>
      </c>
      <c r="K137" s="8" t="s">
        <v>221</v>
      </c>
      <c r="L137" s="10">
        <v>550</v>
      </c>
      <c r="M137" s="13">
        <v>4</v>
      </c>
      <c r="N137" s="10">
        <v>50000000000</v>
      </c>
    </row>
    <row r="138" spans="1:14" ht="21" x14ac:dyDescent="0.25">
      <c r="A138" s="8" t="s">
        <v>166</v>
      </c>
      <c r="B138" s="8" t="s">
        <v>23</v>
      </c>
      <c r="C138" s="8" t="s">
        <v>23</v>
      </c>
      <c r="D138" s="8" t="s">
        <v>216</v>
      </c>
      <c r="E138" s="8" t="s">
        <v>222</v>
      </c>
      <c r="F138" s="9">
        <v>34000000</v>
      </c>
      <c r="G138" s="10">
        <v>450</v>
      </c>
      <c r="H138" s="8" t="s">
        <v>224</v>
      </c>
      <c r="I138" s="10">
        <v>1050</v>
      </c>
      <c r="J138" s="8" t="s">
        <v>221</v>
      </c>
      <c r="K138" s="8" t="s">
        <v>224</v>
      </c>
      <c r="L138" s="10">
        <v>750</v>
      </c>
      <c r="M138" s="13">
        <v>4</v>
      </c>
      <c r="N138" s="10">
        <v>250000000000</v>
      </c>
    </row>
    <row r="139" spans="1:14" ht="21" x14ac:dyDescent="0.25">
      <c r="A139" s="8" t="s">
        <v>167</v>
      </c>
      <c r="B139" s="8" t="s">
        <v>4</v>
      </c>
      <c r="C139" s="8" t="s">
        <v>51</v>
      </c>
      <c r="D139" s="8" t="s">
        <v>214</v>
      </c>
      <c r="E139" s="8" t="s">
        <v>220</v>
      </c>
      <c r="F139" s="9">
        <v>117000000</v>
      </c>
      <c r="G139" s="10">
        <v>180</v>
      </c>
      <c r="H139" s="8" t="s">
        <v>221</v>
      </c>
      <c r="I139" s="10">
        <v>560</v>
      </c>
      <c r="J139" s="8" t="s">
        <v>239</v>
      </c>
      <c r="K139" s="8" t="s">
        <v>221</v>
      </c>
      <c r="L139" s="10">
        <v>550</v>
      </c>
      <c r="M139" s="13">
        <v>5</v>
      </c>
      <c r="N139" s="10">
        <v>480000000000</v>
      </c>
    </row>
    <row r="140" spans="1:14" ht="21" x14ac:dyDescent="0.25">
      <c r="A140" s="8" t="s">
        <v>168</v>
      </c>
      <c r="B140" s="8" t="s">
        <v>7</v>
      </c>
      <c r="C140" s="8" t="s">
        <v>37</v>
      </c>
      <c r="D140" s="8" t="s">
        <v>215</v>
      </c>
      <c r="E140" s="8" t="s">
        <v>221</v>
      </c>
      <c r="F140" s="9">
        <v>37000000</v>
      </c>
      <c r="G140" s="10">
        <v>950</v>
      </c>
      <c r="H140" s="8" t="s">
        <v>220</v>
      </c>
      <c r="I140" s="10">
        <v>2300</v>
      </c>
      <c r="J140" s="8" t="s">
        <v>224</v>
      </c>
      <c r="K140" s="8" t="s">
        <v>224</v>
      </c>
      <c r="L140" s="10">
        <v>1600</v>
      </c>
      <c r="M140" s="13">
        <v>4</v>
      </c>
      <c r="N140" s="10">
        <v>820000000000</v>
      </c>
    </row>
    <row r="141" spans="1:14" ht="21" x14ac:dyDescent="0.25">
      <c r="A141" s="8" t="s">
        <v>169</v>
      </c>
      <c r="B141" s="8" t="s">
        <v>7</v>
      </c>
      <c r="C141" s="8" t="s">
        <v>8</v>
      </c>
      <c r="D141" s="8" t="s">
        <v>215</v>
      </c>
      <c r="E141" s="8" t="s">
        <v>221</v>
      </c>
      <c r="F141" s="9">
        <v>10200000</v>
      </c>
      <c r="G141" s="10">
        <v>1000</v>
      </c>
      <c r="H141" s="8" t="s">
        <v>220</v>
      </c>
      <c r="I141" s="10">
        <v>2200</v>
      </c>
      <c r="J141" s="8" t="s">
        <v>224</v>
      </c>
      <c r="K141" s="8" t="s">
        <v>220</v>
      </c>
      <c r="L141" s="10">
        <v>1900</v>
      </c>
      <c r="M141" s="13">
        <v>3</v>
      </c>
      <c r="N141" s="10">
        <v>310000000000</v>
      </c>
    </row>
    <row r="142" spans="1:14" ht="21" x14ac:dyDescent="0.25">
      <c r="A142" s="8" t="s">
        <v>170</v>
      </c>
      <c r="B142" s="8" t="s">
        <v>4</v>
      </c>
      <c r="C142" s="8" t="s">
        <v>25</v>
      </c>
      <c r="D142" s="8" t="s">
        <v>215</v>
      </c>
      <c r="E142" s="8" t="s">
        <v>221</v>
      </c>
      <c r="F142" s="9">
        <v>3000000</v>
      </c>
      <c r="G142" s="10">
        <v>1600</v>
      </c>
      <c r="H142" s="8" t="s">
        <v>219</v>
      </c>
      <c r="I142" s="10">
        <v>5000</v>
      </c>
      <c r="J142" s="8" t="s">
        <v>219</v>
      </c>
      <c r="K142" s="8" t="s">
        <v>220</v>
      </c>
      <c r="L142" s="10">
        <v>2800</v>
      </c>
      <c r="M142" s="13">
        <v>2</v>
      </c>
      <c r="N142" s="10">
        <v>250000000000</v>
      </c>
    </row>
    <row r="143" spans="1:14" ht="21" x14ac:dyDescent="0.25">
      <c r="A143" s="8" t="s">
        <v>171</v>
      </c>
      <c r="B143" s="8" t="s">
        <v>7</v>
      </c>
      <c r="C143" s="8" t="s">
        <v>37</v>
      </c>
      <c r="D143" s="8" t="s">
        <v>215</v>
      </c>
      <c r="E143" s="8" t="s">
        <v>221</v>
      </c>
      <c r="F143" s="9">
        <v>19000000</v>
      </c>
      <c r="G143" s="10">
        <v>900</v>
      </c>
      <c r="H143" s="8" t="s">
        <v>220</v>
      </c>
      <c r="I143" s="10">
        <v>2000</v>
      </c>
      <c r="J143" s="8" t="s">
        <v>224</v>
      </c>
      <c r="K143" s="8" t="s">
        <v>224</v>
      </c>
      <c r="L143" s="10">
        <v>1400</v>
      </c>
      <c r="M143" s="13">
        <v>4</v>
      </c>
      <c r="N143" s="10">
        <v>360000000000</v>
      </c>
    </row>
    <row r="144" spans="1:14" ht="21" x14ac:dyDescent="0.25">
      <c r="A144" s="8" t="s">
        <v>172</v>
      </c>
      <c r="B144" s="8" t="s">
        <v>7</v>
      </c>
      <c r="C144" s="8" t="s">
        <v>37</v>
      </c>
      <c r="D144" s="8" t="s">
        <v>217</v>
      </c>
      <c r="E144" s="8" t="s">
        <v>222</v>
      </c>
      <c r="F144" s="9">
        <v>144000000</v>
      </c>
      <c r="G144" s="10">
        <v>300</v>
      </c>
      <c r="H144" s="8" t="s">
        <v>224</v>
      </c>
      <c r="I144" s="10">
        <v>960</v>
      </c>
      <c r="J144" s="8" t="s">
        <v>221</v>
      </c>
      <c r="K144" s="8" t="s">
        <v>221</v>
      </c>
      <c r="L144" s="10">
        <v>800</v>
      </c>
      <c r="M144" s="13">
        <v>6</v>
      </c>
      <c r="N144" s="10">
        <v>2200000000000</v>
      </c>
    </row>
    <row r="145" spans="1:14" ht="21" x14ac:dyDescent="0.25">
      <c r="A145" s="8" t="s">
        <v>173</v>
      </c>
      <c r="B145" s="8" t="s">
        <v>10</v>
      </c>
      <c r="C145" s="8" t="s">
        <v>56</v>
      </c>
      <c r="D145" s="8" t="s">
        <v>213</v>
      </c>
      <c r="E145" s="8" t="s">
        <v>219</v>
      </c>
      <c r="F145" s="9">
        <v>14000000</v>
      </c>
      <c r="G145" s="10">
        <v>80</v>
      </c>
      <c r="H145" s="8" t="s">
        <v>237</v>
      </c>
      <c r="I145" s="10">
        <v>220</v>
      </c>
      <c r="J145" s="8" t="s">
        <v>239</v>
      </c>
      <c r="K145" s="8" t="s">
        <v>239</v>
      </c>
      <c r="L145" s="10">
        <v>280</v>
      </c>
      <c r="M145" s="13">
        <v>6</v>
      </c>
      <c r="N145" s="10">
        <v>16000000000</v>
      </c>
    </row>
    <row r="146" spans="1:14" ht="21" x14ac:dyDescent="0.25">
      <c r="A146" s="8" t="s">
        <v>174</v>
      </c>
      <c r="B146" s="8" t="s">
        <v>4</v>
      </c>
      <c r="C146" s="8" t="s">
        <v>25</v>
      </c>
      <c r="D146" s="8" t="s">
        <v>215</v>
      </c>
      <c r="E146" s="8" t="s">
        <v>221</v>
      </c>
      <c r="F146" s="9">
        <v>36000000</v>
      </c>
      <c r="G146" s="10">
        <v>1500</v>
      </c>
      <c r="H146" s="8" t="s">
        <v>219</v>
      </c>
      <c r="I146" s="10">
        <v>4500</v>
      </c>
      <c r="J146" s="8" t="s">
        <v>219</v>
      </c>
      <c r="K146" s="8" t="s">
        <v>224</v>
      </c>
      <c r="L146" s="10">
        <v>2500</v>
      </c>
      <c r="M146" s="13">
        <v>2</v>
      </c>
      <c r="N146" s="10">
        <v>1150000000000</v>
      </c>
    </row>
    <row r="147" spans="1:14" ht="21" x14ac:dyDescent="0.25">
      <c r="A147" s="8" t="s">
        <v>175</v>
      </c>
      <c r="B147" s="8" t="s">
        <v>10</v>
      </c>
      <c r="C147" s="8" t="s">
        <v>42</v>
      </c>
      <c r="D147" s="8" t="s">
        <v>213</v>
      </c>
      <c r="E147" s="8" t="s">
        <v>219</v>
      </c>
      <c r="F147" s="9">
        <v>18000000</v>
      </c>
      <c r="G147" s="10">
        <v>90</v>
      </c>
      <c r="H147" s="8" t="s">
        <v>237</v>
      </c>
      <c r="I147" s="10">
        <v>250</v>
      </c>
      <c r="J147" s="8" t="s">
        <v>239</v>
      </c>
      <c r="K147" s="8" t="s">
        <v>221</v>
      </c>
      <c r="L147" s="10">
        <v>420</v>
      </c>
      <c r="M147" s="13">
        <v>4</v>
      </c>
      <c r="N147" s="10">
        <v>38000000000</v>
      </c>
    </row>
    <row r="148" spans="1:14" ht="21" x14ac:dyDescent="0.25">
      <c r="A148" s="8" t="s">
        <v>176</v>
      </c>
      <c r="B148" s="8" t="s">
        <v>7</v>
      </c>
      <c r="C148" s="8" t="s">
        <v>8</v>
      </c>
      <c r="D148" s="8" t="s">
        <v>214</v>
      </c>
      <c r="E148" s="8" t="s">
        <v>220</v>
      </c>
      <c r="F148" s="9">
        <v>6700000</v>
      </c>
      <c r="G148" s="10">
        <v>500</v>
      </c>
      <c r="H148" s="8" t="s">
        <v>224</v>
      </c>
      <c r="I148" s="10">
        <v>1000</v>
      </c>
      <c r="J148" s="8" t="s">
        <v>221</v>
      </c>
      <c r="K148" s="8" t="s">
        <v>221</v>
      </c>
      <c r="L148" s="10">
        <v>800</v>
      </c>
      <c r="M148" s="13">
        <v>5</v>
      </c>
      <c r="N148" s="10">
        <v>90000000000</v>
      </c>
    </row>
    <row r="149" spans="1:14" ht="21" x14ac:dyDescent="0.25">
      <c r="A149" s="8" t="s">
        <v>177</v>
      </c>
      <c r="B149" s="8" t="s">
        <v>10</v>
      </c>
      <c r="C149" s="8" t="s">
        <v>42</v>
      </c>
      <c r="D149" s="8" t="s">
        <v>213</v>
      </c>
      <c r="E149" s="8" t="s">
        <v>219</v>
      </c>
      <c r="F149" s="9">
        <v>8600000</v>
      </c>
      <c r="G149" s="10">
        <v>60</v>
      </c>
      <c r="H149" s="8" t="s">
        <v>237</v>
      </c>
      <c r="I149" s="10">
        <v>170</v>
      </c>
      <c r="J149" s="8" t="s">
        <v>239</v>
      </c>
      <c r="K149" s="8" t="s">
        <v>239</v>
      </c>
      <c r="L149" s="10">
        <v>200</v>
      </c>
      <c r="M149" s="13">
        <v>8</v>
      </c>
      <c r="N149" s="10">
        <v>8000000000</v>
      </c>
    </row>
    <row r="150" spans="1:14" ht="21" x14ac:dyDescent="0.25">
      <c r="A150" s="8" t="s">
        <v>178</v>
      </c>
      <c r="B150" s="8" t="s">
        <v>4</v>
      </c>
      <c r="C150" s="8" t="s">
        <v>51</v>
      </c>
      <c r="D150" s="8" t="s">
        <v>215</v>
      </c>
      <c r="E150" s="8" t="s">
        <v>221</v>
      </c>
      <c r="F150" s="9">
        <v>5900000</v>
      </c>
      <c r="G150" s="10">
        <v>1800</v>
      </c>
      <c r="H150" s="8" t="s">
        <v>219</v>
      </c>
      <c r="I150" s="10">
        <v>5500</v>
      </c>
      <c r="J150" s="8" t="s">
        <v>219</v>
      </c>
      <c r="K150" s="8" t="s">
        <v>219</v>
      </c>
      <c r="L150" s="10">
        <v>3500</v>
      </c>
      <c r="M150" s="13">
        <v>3</v>
      </c>
      <c r="N150" s="10">
        <v>540000000000</v>
      </c>
    </row>
    <row r="151" spans="1:14" ht="21" x14ac:dyDescent="0.25">
      <c r="A151" s="8" t="s">
        <v>179</v>
      </c>
      <c r="B151" s="8" t="s">
        <v>7</v>
      </c>
      <c r="C151" s="8" t="s">
        <v>37</v>
      </c>
      <c r="D151" s="8" t="s">
        <v>215</v>
      </c>
      <c r="E151" s="8" t="s">
        <v>221</v>
      </c>
      <c r="F151" s="9">
        <v>5400000</v>
      </c>
      <c r="G151" s="10">
        <v>900</v>
      </c>
      <c r="H151" s="8" t="s">
        <v>220</v>
      </c>
      <c r="I151" s="10">
        <v>2200</v>
      </c>
      <c r="J151" s="8" t="s">
        <v>224</v>
      </c>
      <c r="K151" s="8" t="s">
        <v>224</v>
      </c>
      <c r="L151" s="10">
        <v>1600</v>
      </c>
      <c r="M151" s="13">
        <v>4</v>
      </c>
      <c r="N151" s="10">
        <v>155000000000</v>
      </c>
    </row>
    <row r="152" spans="1:14" ht="21" x14ac:dyDescent="0.25">
      <c r="A152" s="8" t="s">
        <v>180</v>
      </c>
      <c r="B152" s="8" t="s">
        <v>7</v>
      </c>
      <c r="C152" s="8" t="s">
        <v>8</v>
      </c>
      <c r="D152" s="8" t="s">
        <v>215</v>
      </c>
      <c r="E152" s="8" t="s">
        <v>221</v>
      </c>
      <c r="F152" s="9">
        <v>2100000</v>
      </c>
      <c r="G152" s="10">
        <v>1100</v>
      </c>
      <c r="H152" s="8" t="s">
        <v>220</v>
      </c>
      <c r="I152" s="10">
        <v>2400</v>
      </c>
      <c r="J152" s="8" t="s">
        <v>224</v>
      </c>
      <c r="K152" s="8" t="s">
        <v>220</v>
      </c>
      <c r="L152" s="10">
        <v>1800</v>
      </c>
      <c r="M152" s="13">
        <v>3</v>
      </c>
      <c r="N152" s="10">
        <v>78000000000</v>
      </c>
    </row>
    <row r="153" spans="1:14" ht="21" x14ac:dyDescent="0.25">
      <c r="A153" s="8" t="s">
        <v>181</v>
      </c>
      <c r="B153" s="8" t="s">
        <v>10</v>
      </c>
      <c r="C153" s="8" t="s">
        <v>56</v>
      </c>
      <c r="D153" s="8" t="s">
        <v>213</v>
      </c>
      <c r="E153" s="8" t="s">
        <v>219</v>
      </c>
      <c r="F153" s="9">
        <v>18000000</v>
      </c>
      <c r="G153" s="10">
        <v>0</v>
      </c>
      <c r="H153" s="8" t="s">
        <v>237</v>
      </c>
      <c r="I153" s="10">
        <v>0</v>
      </c>
      <c r="J153" s="8" t="s">
        <v>239</v>
      </c>
      <c r="K153" s="8" t="s">
        <v>239</v>
      </c>
      <c r="L153" s="10">
        <v>180</v>
      </c>
      <c r="M153" s="13">
        <v>6</v>
      </c>
      <c r="N153" s="10">
        <v>10000000000</v>
      </c>
    </row>
    <row r="154" spans="1:14" ht="21" x14ac:dyDescent="0.25">
      <c r="A154" s="8" t="s">
        <v>182</v>
      </c>
      <c r="B154" s="8" t="s">
        <v>10</v>
      </c>
      <c r="C154" s="8" t="s">
        <v>48</v>
      </c>
      <c r="D154" s="8" t="s">
        <v>216</v>
      </c>
      <c r="E154" s="8" t="s">
        <v>222</v>
      </c>
      <c r="F154" s="9">
        <v>60000000</v>
      </c>
      <c r="G154" s="10">
        <v>250</v>
      </c>
      <c r="H154" s="8" t="s">
        <v>224</v>
      </c>
      <c r="I154" s="10">
        <v>900</v>
      </c>
      <c r="J154" s="8" t="s">
        <v>221</v>
      </c>
      <c r="K154" s="8" t="s">
        <v>224</v>
      </c>
      <c r="L154" s="10">
        <v>900</v>
      </c>
      <c r="M154" s="13">
        <v>5</v>
      </c>
      <c r="N154" s="10">
        <v>450000000000</v>
      </c>
    </row>
    <row r="155" spans="1:14" ht="21" x14ac:dyDescent="0.25">
      <c r="A155" s="8" t="s">
        <v>183</v>
      </c>
      <c r="B155" s="8" t="s">
        <v>7</v>
      </c>
      <c r="C155" s="8" t="s">
        <v>8</v>
      </c>
      <c r="D155" s="8" t="s">
        <v>215</v>
      </c>
      <c r="E155" s="8" t="s">
        <v>221</v>
      </c>
      <c r="F155" s="9">
        <v>48000000</v>
      </c>
      <c r="G155" s="10">
        <v>1200</v>
      </c>
      <c r="H155" s="8" t="s">
        <v>219</v>
      </c>
      <c r="I155" s="10">
        <v>2700</v>
      </c>
      <c r="J155" s="8" t="s">
        <v>219</v>
      </c>
      <c r="K155" s="8" t="s">
        <v>220</v>
      </c>
      <c r="L155" s="10">
        <v>2200</v>
      </c>
      <c r="M155" s="13">
        <v>3</v>
      </c>
      <c r="N155" s="10">
        <v>1750000000000</v>
      </c>
    </row>
    <row r="156" spans="1:14" ht="21" x14ac:dyDescent="0.25">
      <c r="A156" s="8" t="s">
        <v>184</v>
      </c>
      <c r="B156" s="8" t="s">
        <v>4</v>
      </c>
      <c r="C156" s="8" t="s">
        <v>5</v>
      </c>
      <c r="D156" s="8" t="s">
        <v>214</v>
      </c>
      <c r="E156" s="8" t="s">
        <v>220</v>
      </c>
      <c r="F156" s="9">
        <v>22000000</v>
      </c>
      <c r="G156" s="10">
        <v>120</v>
      </c>
      <c r="H156" s="8" t="s">
        <v>221</v>
      </c>
      <c r="I156" s="10">
        <v>360</v>
      </c>
      <c r="J156" s="8" t="s">
        <v>239</v>
      </c>
      <c r="K156" s="8" t="s">
        <v>221</v>
      </c>
      <c r="L156" s="10">
        <v>320</v>
      </c>
      <c r="M156" s="13">
        <v>8</v>
      </c>
      <c r="N156" s="10">
        <v>90000000000</v>
      </c>
    </row>
    <row r="157" spans="1:14" ht="21" x14ac:dyDescent="0.25">
      <c r="A157" s="8" t="s">
        <v>185</v>
      </c>
      <c r="B157" s="8" t="s">
        <v>10</v>
      </c>
      <c r="C157" s="8" t="s">
        <v>11</v>
      </c>
      <c r="D157" s="8" t="s">
        <v>213</v>
      </c>
      <c r="E157" s="8" t="s">
        <v>219</v>
      </c>
      <c r="F157" s="9">
        <v>49000000</v>
      </c>
      <c r="G157" s="10">
        <v>40</v>
      </c>
      <c r="H157" s="8" t="s">
        <v>237</v>
      </c>
      <c r="I157" s="10">
        <v>110</v>
      </c>
      <c r="J157" s="8" t="s">
        <v>239</v>
      </c>
      <c r="K157" s="8" t="s">
        <v>239</v>
      </c>
      <c r="L157" s="10">
        <v>200</v>
      </c>
      <c r="M157" s="13">
        <v>80</v>
      </c>
      <c r="N157" s="10">
        <v>60000000000</v>
      </c>
    </row>
    <row r="158" spans="1:14" ht="21" x14ac:dyDescent="0.25">
      <c r="A158" s="8" t="s">
        <v>186</v>
      </c>
      <c r="B158" s="8" t="s">
        <v>23</v>
      </c>
      <c r="C158" s="8" t="s">
        <v>23</v>
      </c>
      <c r="D158" s="8" t="s">
        <v>214</v>
      </c>
      <c r="E158" s="8" t="s">
        <v>220</v>
      </c>
      <c r="F158" s="9">
        <v>600000</v>
      </c>
      <c r="G158" s="10">
        <v>300</v>
      </c>
      <c r="H158" s="8" t="s">
        <v>221</v>
      </c>
      <c r="I158" s="10">
        <v>720</v>
      </c>
      <c r="J158" s="8" t="s">
        <v>221</v>
      </c>
      <c r="K158" s="8" t="s">
        <v>221</v>
      </c>
      <c r="L158" s="10">
        <v>650</v>
      </c>
      <c r="M158" s="13">
        <v>6</v>
      </c>
      <c r="N158" s="10">
        <v>9000000000</v>
      </c>
    </row>
    <row r="159" spans="1:14" ht="21" x14ac:dyDescent="0.25">
      <c r="A159" s="8" t="s">
        <v>187</v>
      </c>
      <c r="B159" s="8" t="s">
        <v>7</v>
      </c>
      <c r="C159" s="8" t="s">
        <v>80</v>
      </c>
      <c r="D159" s="8" t="s">
        <v>215</v>
      </c>
      <c r="E159" s="8" t="s">
        <v>221</v>
      </c>
      <c r="F159" s="9">
        <v>10500000</v>
      </c>
      <c r="G159" s="10">
        <v>0</v>
      </c>
      <c r="H159" s="8" t="s">
        <v>219</v>
      </c>
      <c r="I159" s="10">
        <v>5200</v>
      </c>
      <c r="J159" s="8" t="s">
        <v>219</v>
      </c>
      <c r="K159" s="8" t="s">
        <v>219</v>
      </c>
      <c r="L159" s="10">
        <v>3200</v>
      </c>
      <c r="M159" s="13">
        <v>3</v>
      </c>
      <c r="N159" s="10">
        <v>670000000000</v>
      </c>
    </row>
    <row r="160" spans="1:14" ht="21" x14ac:dyDescent="0.25">
      <c r="A160" s="8" t="s">
        <v>188</v>
      </c>
      <c r="B160" s="8" t="s">
        <v>7</v>
      </c>
      <c r="C160" s="8" t="s">
        <v>30</v>
      </c>
      <c r="D160" s="8" t="s">
        <v>215</v>
      </c>
      <c r="E160" s="8" t="s">
        <v>221</v>
      </c>
      <c r="F160" s="9">
        <v>9000000</v>
      </c>
      <c r="G160" s="10">
        <v>0</v>
      </c>
      <c r="H160" s="8" t="s">
        <v>219</v>
      </c>
      <c r="I160" s="10">
        <v>6500</v>
      </c>
      <c r="J160" s="8" t="s">
        <v>219</v>
      </c>
      <c r="K160" s="8" t="s">
        <v>219</v>
      </c>
      <c r="L160" s="10">
        <v>4200</v>
      </c>
      <c r="M160" s="13">
        <v>2</v>
      </c>
      <c r="N160" s="10">
        <v>950000000000</v>
      </c>
    </row>
    <row r="161" spans="1:14" ht="21" x14ac:dyDescent="0.25">
      <c r="A161" s="8" t="s">
        <v>189</v>
      </c>
      <c r="B161" s="8" t="s">
        <v>4</v>
      </c>
      <c r="C161" s="8" t="s">
        <v>25</v>
      </c>
      <c r="D161" s="8" t="s">
        <v>213</v>
      </c>
      <c r="E161" s="8" t="s">
        <v>219</v>
      </c>
      <c r="F161" s="9">
        <v>24000000</v>
      </c>
      <c r="G161" s="10">
        <v>20</v>
      </c>
      <c r="H161" s="8" t="s">
        <v>237</v>
      </c>
      <c r="I161" s="10">
        <v>60</v>
      </c>
      <c r="J161" s="8" t="s">
        <v>239</v>
      </c>
      <c r="K161" s="8" t="s">
        <v>239</v>
      </c>
      <c r="L161" s="10">
        <v>180</v>
      </c>
      <c r="M161" s="13">
        <v>50</v>
      </c>
      <c r="N161" s="10">
        <v>25000000000</v>
      </c>
    </row>
    <row r="162" spans="1:14" ht="21" x14ac:dyDescent="0.25">
      <c r="A162" s="8" t="s">
        <v>190</v>
      </c>
      <c r="B162" s="8" t="s">
        <v>4</v>
      </c>
      <c r="C162" s="8" t="s">
        <v>67</v>
      </c>
      <c r="D162" s="8" t="s">
        <v>215</v>
      </c>
      <c r="E162" s="8" t="s">
        <v>221</v>
      </c>
      <c r="F162" s="9">
        <v>23000000</v>
      </c>
      <c r="G162" s="10">
        <v>900</v>
      </c>
      <c r="H162" s="8" t="s">
        <v>220</v>
      </c>
      <c r="I162" s="10">
        <v>3000</v>
      </c>
      <c r="J162" s="8" t="s">
        <v>220</v>
      </c>
      <c r="K162" s="8" t="s">
        <v>220</v>
      </c>
      <c r="L162" s="10">
        <v>2200</v>
      </c>
      <c r="M162" s="13">
        <v>3</v>
      </c>
      <c r="N162" s="10">
        <v>860000000000</v>
      </c>
    </row>
    <row r="163" spans="1:14" ht="21" x14ac:dyDescent="0.25">
      <c r="A163" s="8" t="s">
        <v>191</v>
      </c>
      <c r="B163" s="8" t="s">
        <v>10</v>
      </c>
      <c r="C163" s="8" t="s">
        <v>56</v>
      </c>
      <c r="D163" s="8" t="s">
        <v>213</v>
      </c>
      <c r="E163" s="8" t="s">
        <v>219</v>
      </c>
      <c r="F163" s="9">
        <v>67000000</v>
      </c>
      <c r="G163" s="10">
        <v>70</v>
      </c>
      <c r="H163" s="8" t="s">
        <v>237</v>
      </c>
      <c r="I163" s="10">
        <v>220</v>
      </c>
      <c r="J163" s="8" t="s">
        <v>239</v>
      </c>
      <c r="K163" s="8" t="s">
        <v>239</v>
      </c>
      <c r="L163" s="10">
        <v>250</v>
      </c>
      <c r="M163" s="13">
        <v>5</v>
      </c>
      <c r="N163" s="10">
        <v>95000000000</v>
      </c>
    </row>
    <row r="164" spans="1:14" ht="21" x14ac:dyDescent="0.25">
      <c r="A164" s="8" t="s">
        <v>192</v>
      </c>
      <c r="B164" s="8" t="s">
        <v>4</v>
      </c>
      <c r="C164" s="8" t="s">
        <v>51</v>
      </c>
      <c r="D164" s="8" t="s">
        <v>216</v>
      </c>
      <c r="E164" s="8" t="s">
        <v>222</v>
      </c>
      <c r="F164" s="9">
        <v>71000000</v>
      </c>
      <c r="G164" s="10">
        <v>250</v>
      </c>
      <c r="H164" s="8" t="s">
        <v>221</v>
      </c>
      <c r="I164" s="10">
        <v>720</v>
      </c>
      <c r="J164" s="8" t="s">
        <v>221</v>
      </c>
      <c r="K164" s="8" t="s">
        <v>221</v>
      </c>
      <c r="L164" s="10">
        <v>650</v>
      </c>
      <c r="M164" s="13">
        <v>2</v>
      </c>
      <c r="N164" s="10">
        <v>620000000000</v>
      </c>
    </row>
    <row r="165" spans="1:14" ht="21" x14ac:dyDescent="0.25">
      <c r="A165" s="8" t="s">
        <v>193</v>
      </c>
      <c r="B165" s="8" t="s">
        <v>10</v>
      </c>
      <c r="C165" s="8" t="s">
        <v>42</v>
      </c>
      <c r="D165" s="8" t="s">
        <v>213</v>
      </c>
      <c r="E165" s="8" t="s">
        <v>219</v>
      </c>
      <c r="F165" s="9">
        <v>9000000</v>
      </c>
      <c r="G165" s="10">
        <v>60</v>
      </c>
      <c r="H165" s="8" t="s">
        <v>237</v>
      </c>
      <c r="I165" s="10">
        <v>160</v>
      </c>
      <c r="J165" s="8" t="s">
        <v>239</v>
      </c>
      <c r="K165" s="8" t="s">
        <v>239</v>
      </c>
      <c r="L165" s="10">
        <v>220</v>
      </c>
      <c r="M165" s="13">
        <v>4</v>
      </c>
      <c r="N165" s="10">
        <v>16000000000</v>
      </c>
    </row>
    <row r="166" spans="1:14" ht="21" x14ac:dyDescent="0.25">
      <c r="A166" s="8" t="s">
        <v>194</v>
      </c>
      <c r="B166" s="8" t="s">
        <v>19</v>
      </c>
      <c r="C166" s="8" t="s">
        <v>20</v>
      </c>
      <c r="D166" s="8" t="s">
        <v>216</v>
      </c>
      <c r="E166" s="8" t="s">
        <v>222</v>
      </c>
      <c r="F166" s="9">
        <v>1500000</v>
      </c>
      <c r="G166" s="10">
        <v>700</v>
      </c>
      <c r="H166" s="8" t="s">
        <v>220</v>
      </c>
      <c r="I166" s="10">
        <v>1800</v>
      </c>
      <c r="J166" s="8" t="s">
        <v>224</v>
      </c>
      <c r="K166" s="8" t="s">
        <v>220</v>
      </c>
      <c r="L166" s="10">
        <v>1800</v>
      </c>
      <c r="M166" s="13">
        <v>4</v>
      </c>
      <c r="N166" s="10">
        <v>26000000000</v>
      </c>
    </row>
    <row r="167" spans="1:14" ht="21" x14ac:dyDescent="0.25">
      <c r="A167" s="8" t="s">
        <v>195</v>
      </c>
      <c r="B167" s="8" t="s">
        <v>10</v>
      </c>
      <c r="C167" s="8" t="s">
        <v>11</v>
      </c>
      <c r="D167" s="8" t="s">
        <v>214</v>
      </c>
      <c r="E167" s="8" t="s">
        <v>220</v>
      </c>
      <c r="F167" s="9">
        <v>12000000</v>
      </c>
      <c r="G167" s="10">
        <v>250</v>
      </c>
      <c r="H167" s="8" t="s">
        <v>221</v>
      </c>
      <c r="I167" s="10">
        <v>640</v>
      </c>
      <c r="J167" s="8" t="s">
        <v>239</v>
      </c>
      <c r="K167" s="8" t="s">
        <v>221</v>
      </c>
      <c r="L167" s="10">
        <v>500</v>
      </c>
      <c r="M167" s="13">
        <v>4</v>
      </c>
      <c r="N167" s="10">
        <v>60000000000</v>
      </c>
    </row>
    <row r="168" spans="1:14" ht="21" x14ac:dyDescent="0.25">
      <c r="A168" s="8" t="s">
        <v>196</v>
      </c>
      <c r="B168" s="8" t="s">
        <v>4</v>
      </c>
      <c r="C168" s="8" t="s">
        <v>25</v>
      </c>
      <c r="D168" s="8" t="s">
        <v>216</v>
      </c>
      <c r="E168" s="8" t="s">
        <v>222</v>
      </c>
      <c r="F168" s="9">
        <v>86000000</v>
      </c>
      <c r="G168" s="10">
        <v>600</v>
      </c>
      <c r="H168" s="8" t="s">
        <v>224</v>
      </c>
      <c r="I168" s="10">
        <v>1350</v>
      </c>
      <c r="J168" s="8" t="s">
        <v>221</v>
      </c>
      <c r="K168" s="8" t="s">
        <v>224</v>
      </c>
      <c r="L168" s="10">
        <v>900</v>
      </c>
      <c r="M168" s="13">
        <v>38</v>
      </c>
      <c r="N168" s="10">
        <v>1150000000000</v>
      </c>
    </row>
    <row r="169" spans="1:14" ht="21" x14ac:dyDescent="0.25">
      <c r="A169" s="8" t="s">
        <v>197</v>
      </c>
      <c r="B169" s="8" t="s">
        <v>4</v>
      </c>
      <c r="C169" s="8" t="s">
        <v>124</v>
      </c>
      <c r="D169" s="8" t="s">
        <v>214</v>
      </c>
      <c r="E169" s="8" t="s">
        <v>220</v>
      </c>
      <c r="F169" s="9">
        <v>7000000</v>
      </c>
      <c r="G169" s="10">
        <v>200</v>
      </c>
      <c r="H169" s="8" t="s">
        <v>237</v>
      </c>
      <c r="I169" s="10">
        <v>480</v>
      </c>
      <c r="J169" s="8" t="s">
        <v>239</v>
      </c>
      <c r="K169" s="8" t="s">
        <v>239</v>
      </c>
      <c r="L169" s="10">
        <v>300</v>
      </c>
      <c r="M169" s="13">
        <v>5</v>
      </c>
      <c r="N169" s="10">
        <v>65000000000</v>
      </c>
    </row>
    <row r="170" spans="1:14" ht="21" x14ac:dyDescent="0.25">
      <c r="A170" s="8" t="s">
        <v>198</v>
      </c>
      <c r="B170" s="8" t="s">
        <v>10</v>
      </c>
      <c r="C170" s="8" t="s">
        <v>56</v>
      </c>
      <c r="D170" s="8" t="s">
        <v>213</v>
      </c>
      <c r="E170" s="8" t="s">
        <v>219</v>
      </c>
      <c r="F170" s="9">
        <v>50000000</v>
      </c>
      <c r="G170" s="10">
        <v>60</v>
      </c>
      <c r="H170" s="8" t="s">
        <v>237</v>
      </c>
      <c r="I170" s="10">
        <v>220</v>
      </c>
      <c r="J170" s="8" t="s">
        <v>239</v>
      </c>
      <c r="K170" s="8" t="s">
        <v>239</v>
      </c>
      <c r="L170" s="10">
        <v>220</v>
      </c>
      <c r="M170" s="13">
        <v>5</v>
      </c>
      <c r="N170" s="10">
        <v>85000000000</v>
      </c>
    </row>
    <row r="171" spans="1:14" ht="21" x14ac:dyDescent="0.25">
      <c r="A171" s="8" t="s">
        <v>199</v>
      </c>
      <c r="B171" s="8" t="s">
        <v>7</v>
      </c>
      <c r="C171" s="8" t="s">
        <v>37</v>
      </c>
      <c r="D171" s="8" t="s">
        <v>214</v>
      </c>
      <c r="E171" s="8" t="s">
        <v>220</v>
      </c>
      <c r="F171" s="9">
        <v>36000000</v>
      </c>
      <c r="G171" s="10">
        <v>200</v>
      </c>
      <c r="H171" s="8" t="s">
        <v>221</v>
      </c>
      <c r="I171" s="10">
        <v>560</v>
      </c>
      <c r="J171" s="8" t="s">
        <v>239</v>
      </c>
      <c r="K171" s="8" t="s">
        <v>221</v>
      </c>
      <c r="L171" s="10">
        <v>450</v>
      </c>
      <c r="M171" s="13">
        <v>7</v>
      </c>
      <c r="N171" s="10">
        <v>240000000000</v>
      </c>
    </row>
    <row r="172" spans="1:14" ht="21" x14ac:dyDescent="0.25">
      <c r="A172" s="8" t="s">
        <v>200</v>
      </c>
      <c r="B172" s="8" t="s">
        <v>4</v>
      </c>
      <c r="C172" s="8" t="s">
        <v>25</v>
      </c>
      <c r="D172" s="8" t="s">
        <v>215</v>
      </c>
      <c r="E172" s="8" t="s">
        <v>221</v>
      </c>
      <c r="F172" s="9">
        <v>10000000</v>
      </c>
      <c r="G172" s="10">
        <v>1500</v>
      </c>
      <c r="H172" s="8" t="s">
        <v>219</v>
      </c>
      <c r="I172" s="10">
        <v>5000</v>
      </c>
      <c r="J172" s="8" t="s">
        <v>219</v>
      </c>
      <c r="K172" s="8" t="s">
        <v>220</v>
      </c>
      <c r="L172" s="10">
        <v>2800</v>
      </c>
      <c r="M172" s="13">
        <v>2</v>
      </c>
      <c r="N172" s="10">
        <v>610000000000</v>
      </c>
    </row>
    <row r="173" spans="1:14" ht="21" x14ac:dyDescent="0.25">
      <c r="A173" s="8" t="s">
        <v>201</v>
      </c>
      <c r="B173" s="8" t="s">
        <v>7</v>
      </c>
      <c r="C173" s="8" t="s">
        <v>80</v>
      </c>
      <c r="D173" s="8" t="s">
        <v>215</v>
      </c>
      <c r="E173" s="8" t="s">
        <v>221</v>
      </c>
      <c r="F173" s="9">
        <v>68000000</v>
      </c>
      <c r="G173" s="10">
        <v>2000</v>
      </c>
      <c r="H173" s="8" t="s">
        <v>219</v>
      </c>
      <c r="I173" s="10">
        <v>4700</v>
      </c>
      <c r="J173" s="8" t="s">
        <v>219</v>
      </c>
      <c r="K173" s="8" t="s">
        <v>219</v>
      </c>
      <c r="L173" s="10">
        <v>3200</v>
      </c>
      <c r="M173" s="13">
        <v>3</v>
      </c>
      <c r="N173" s="10">
        <v>3100000000000</v>
      </c>
    </row>
    <row r="174" spans="1:14" ht="21" x14ac:dyDescent="0.25">
      <c r="A174" s="8" t="s">
        <v>202</v>
      </c>
      <c r="B174" s="8" t="s">
        <v>19</v>
      </c>
      <c r="C174" s="8" t="s">
        <v>60</v>
      </c>
      <c r="D174" s="8" t="s">
        <v>215</v>
      </c>
      <c r="E174" s="8" t="s">
        <v>221</v>
      </c>
      <c r="F174" s="9">
        <v>340000000</v>
      </c>
      <c r="G174" s="10">
        <v>1250</v>
      </c>
      <c r="H174" s="8" t="s">
        <v>219</v>
      </c>
      <c r="I174" s="10">
        <v>5000</v>
      </c>
      <c r="J174" s="8" t="s">
        <v>219</v>
      </c>
      <c r="K174" s="8" t="s">
        <v>219</v>
      </c>
      <c r="L174" s="10">
        <v>3500</v>
      </c>
      <c r="M174" s="13">
        <v>3</v>
      </c>
      <c r="N174" s="10">
        <v>29000000000000</v>
      </c>
    </row>
    <row r="175" spans="1:14" ht="21" x14ac:dyDescent="0.25">
      <c r="A175" s="8" t="s">
        <v>203</v>
      </c>
      <c r="B175" s="8" t="s">
        <v>23</v>
      </c>
      <c r="C175" s="8" t="s">
        <v>23</v>
      </c>
      <c r="D175" s="8" t="s">
        <v>215</v>
      </c>
      <c r="E175" s="8" t="s">
        <v>221</v>
      </c>
      <c r="F175" s="9">
        <v>3500000</v>
      </c>
      <c r="G175" s="10">
        <v>600</v>
      </c>
      <c r="H175" s="8" t="s">
        <v>224</v>
      </c>
      <c r="I175" s="10">
        <v>1500</v>
      </c>
      <c r="J175" s="8" t="s">
        <v>224</v>
      </c>
      <c r="K175" s="8" t="s">
        <v>220</v>
      </c>
      <c r="L175" s="10">
        <v>1600</v>
      </c>
      <c r="M175" s="13">
        <v>4</v>
      </c>
      <c r="N175" s="10">
        <v>90000000000</v>
      </c>
    </row>
    <row r="176" spans="1:14" ht="21" x14ac:dyDescent="0.25">
      <c r="A176" s="8" t="s">
        <v>204</v>
      </c>
      <c r="B176" s="8" t="s">
        <v>4</v>
      </c>
      <c r="C176" s="8" t="s">
        <v>124</v>
      </c>
      <c r="D176" s="8" t="s">
        <v>214</v>
      </c>
      <c r="E176" s="8" t="s">
        <v>220</v>
      </c>
      <c r="F176" s="9">
        <v>36000000</v>
      </c>
      <c r="G176" s="10">
        <v>120</v>
      </c>
      <c r="H176" s="8" t="s">
        <v>221</v>
      </c>
      <c r="I176" s="10">
        <v>360</v>
      </c>
      <c r="J176" s="8" t="s">
        <v>239</v>
      </c>
      <c r="K176" s="8" t="s">
        <v>239</v>
      </c>
      <c r="L176" s="10">
        <v>320</v>
      </c>
      <c r="M176" s="13">
        <v>6</v>
      </c>
      <c r="N176" s="10">
        <v>130000000000</v>
      </c>
    </row>
    <row r="177" spans="1:14" ht="21" x14ac:dyDescent="0.25">
      <c r="A177" s="8" t="s">
        <v>205</v>
      </c>
      <c r="B177" s="8" t="s">
        <v>23</v>
      </c>
      <c r="C177" s="8" t="s">
        <v>23</v>
      </c>
      <c r="D177" s="8" t="s">
        <v>214</v>
      </c>
      <c r="E177" s="8" t="s">
        <v>220</v>
      </c>
      <c r="F177" s="9">
        <v>28000000</v>
      </c>
      <c r="G177" s="10">
        <v>5</v>
      </c>
      <c r="H177" s="8" t="s">
        <v>237</v>
      </c>
      <c r="I177" s="10">
        <v>30</v>
      </c>
      <c r="J177" s="8" t="s">
        <v>239</v>
      </c>
      <c r="K177" s="8" t="s">
        <v>239</v>
      </c>
      <c r="L177" s="10">
        <v>250</v>
      </c>
      <c r="M177" s="13">
        <v>200</v>
      </c>
      <c r="N177" s="10">
        <v>130000000000</v>
      </c>
    </row>
    <row r="178" spans="1:14" ht="21" x14ac:dyDescent="0.25">
      <c r="A178" s="8" t="s">
        <v>206</v>
      </c>
      <c r="B178" s="8" t="s">
        <v>4</v>
      </c>
      <c r="C178" s="8" t="s">
        <v>51</v>
      </c>
      <c r="D178" s="8" t="s">
        <v>214</v>
      </c>
      <c r="E178" s="8" t="s">
        <v>220</v>
      </c>
      <c r="F178" s="9">
        <v>100000000</v>
      </c>
      <c r="G178" s="10">
        <v>180</v>
      </c>
      <c r="H178" s="8" t="s">
        <v>221</v>
      </c>
      <c r="I178" s="10">
        <v>560</v>
      </c>
      <c r="J178" s="8" t="s">
        <v>239</v>
      </c>
      <c r="K178" s="8" t="s">
        <v>221</v>
      </c>
      <c r="L178" s="10">
        <v>450</v>
      </c>
      <c r="M178" s="13">
        <v>4</v>
      </c>
      <c r="N178" s="10">
        <v>550000000000</v>
      </c>
    </row>
    <row r="179" spans="1:14" ht="21" x14ac:dyDescent="0.25">
      <c r="A179" s="8" t="s">
        <v>207</v>
      </c>
      <c r="B179" s="8" t="s">
        <v>4</v>
      </c>
      <c r="C179" s="8" t="s">
        <v>25</v>
      </c>
      <c r="D179" s="8" t="s">
        <v>213</v>
      </c>
      <c r="E179" s="8" t="s">
        <v>219</v>
      </c>
      <c r="F179" s="9">
        <v>5000000</v>
      </c>
      <c r="G179" s="10">
        <v>400</v>
      </c>
      <c r="H179" s="8" t="s">
        <v>224</v>
      </c>
      <c r="I179" s="10">
        <v>720</v>
      </c>
      <c r="J179" s="8" t="s">
        <v>221</v>
      </c>
      <c r="K179" s="8" t="s">
        <v>221</v>
      </c>
      <c r="L179" s="10">
        <v>600</v>
      </c>
      <c r="M179" s="13">
        <v>4</v>
      </c>
      <c r="N179" s="10">
        <v>18000000000</v>
      </c>
    </row>
    <row r="180" spans="1:14" ht="21" x14ac:dyDescent="0.25">
      <c r="A180" s="8" t="s">
        <v>208</v>
      </c>
      <c r="B180" s="8" t="s">
        <v>10</v>
      </c>
      <c r="C180" s="8" t="s">
        <v>11</v>
      </c>
      <c r="D180" s="8" t="s">
        <v>213</v>
      </c>
      <c r="E180" s="8" t="s">
        <v>219</v>
      </c>
      <c r="F180" s="9">
        <v>600000</v>
      </c>
      <c r="G180" s="10">
        <v>0</v>
      </c>
      <c r="H180" s="8" t="s">
        <v>237</v>
      </c>
      <c r="I180" s="10">
        <v>0</v>
      </c>
      <c r="J180" s="8" t="s">
        <v>239</v>
      </c>
      <c r="K180" s="8" t="s">
        <v>239</v>
      </c>
      <c r="L180" s="10">
        <v>200</v>
      </c>
      <c r="M180" s="13">
        <v>4</v>
      </c>
      <c r="N180" s="10">
        <v>3000000000</v>
      </c>
    </row>
    <row r="181" spans="1:14" ht="21" x14ac:dyDescent="0.25">
      <c r="A181" s="8" t="s">
        <v>209</v>
      </c>
      <c r="B181" s="8" t="s">
        <v>4</v>
      </c>
      <c r="C181" s="8" t="s">
        <v>25</v>
      </c>
      <c r="D181" s="8" t="s">
        <v>213</v>
      </c>
      <c r="E181" s="8" t="s">
        <v>219</v>
      </c>
      <c r="F181" s="9">
        <v>34000000</v>
      </c>
      <c r="G181" s="10">
        <v>30</v>
      </c>
      <c r="H181" s="8" t="s">
        <v>237</v>
      </c>
      <c r="I181" s="10">
        <v>90</v>
      </c>
      <c r="J181" s="8" t="s">
        <v>239</v>
      </c>
      <c r="K181" s="8" t="s">
        <v>239</v>
      </c>
      <c r="L181" s="10">
        <v>180</v>
      </c>
      <c r="M181" s="13">
        <v>30</v>
      </c>
      <c r="N181" s="10">
        <v>28000000000</v>
      </c>
    </row>
    <row r="182" spans="1:14" ht="21" x14ac:dyDescent="0.25">
      <c r="A182" s="8" t="s">
        <v>210</v>
      </c>
      <c r="B182" s="8" t="s">
        <v>10</v>
      </c>
      <c r="C182" s="8" t="s">
        <v>48</v>
      </c>
      <c r="D182" s="8" t="s">
        <v>213</v>
      </c>
      <c r="E182" s="8" t="s">
        <v>219</v>
      </c>
      <c r="F182" s="9">
        <v>21000000</v>
      </c>
      <c r="G182" s="10">
        <v>80</v>
      </c>
      <c r="H182" s="8" t="s">
        <v>237</v>
      </c>
      <c r="I182" s="10">
        <v>240</v>
      </c>
      <c r="J182" s="8" t="s">
        <v>239</v>
      </c>
      <c r="K182" s="8" t="s">
        <v>239</v>
      </c>
      <c r="L182" s="10">
        <v>300</v>
      </c>
      <c r="M182" s="13">
        <v>8</v>
      </c>
      <c r="N182" s="10">
        <v>38000000000</v>
      </c>
    </row>
    <row r="183" spans="1:14" ht="21" x14ac:dyDescent="0.25">
      <c r="A183" s="8" t="s">
        <v>211</v>
      </c>
      <c r="B183" s="8" t="s">
        <v>10</v>
      </c>
      <c r="C183" s="8" t="s">
        <v>48</v>
      </c>
      <c r="D183" s="8" t="s">
        <v>213</v>
      </c>
      <c r="E183" s="8" t="s">
        <v>219</v>
      </c>
      <c r="F183" s="9">
        <v>17000000</v>
      </c>
      <c r="G183" s="10">
        <v>100</v>
      </c>
      <c r="H183" s="8" t="s">
        <v>237</v>
      </c>
      <c r="I183" s="10">
        <v>280</v>
      </c>
      <c r="J183" s="8" t="s">
        <v>239</v>
      </c>
      <c r="K183" s="8" t="s">
        <v>239</v>
      </c>
      <c r="L183" s="10">
        <v>250</v>
      </c>
      <c r="M183" s="13">
        <v>90</v>
      </c>
      <c r="N183" s="10">
        <v>32000000000</v>
      </c>
    </row>
  </sheetData>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3"/>
  </sheetPr>
  <dimension ref="A1:P183"/>
  <sheetViews>
    <sheetView workbookViewId="0">
      <selection activeCell="M15" sqref="M15"/>
    </sheetView>
  </sheetViews>
  <sheetFormatPr defaultRowHeight="21" x14ac:dyDescent="0.35"/>
  <cols>
    <col min="1" max="1" width="37.42578125" bestFit="1" customWidth="1"/>
    <col min="2" max="2" width="19.42578125" bestFit="1" customWidth="1"/>
    <col min="3" max="3" width="32" bestFit="1" customWidth="1"/>
    <col min="4" max="4" width="27.28515625" bestFit="1" customWidth="1"/>
    <col min="5" max="5" width="27.7109375" bestFit="1" customWidth="1"/>
    <col min="6" max="6" width="19.42578125" bestFit="1" customWidth="1"/>
    <col min="7" max="7" width="27" bestFit="1" customWidth="1"/>
    <col min="8" max="8" width="28.85546875" bestFit="1" customWidth="1"/>
    <col min="9" max="9" width="39.5703125" bestFit="1" customWidth="1"/>
    <col min="10" max="10" width="28.140625" bestFit="1" customWidth="1"/>
    <col min="11" max="11" width="26.42578125" bestFit="1" customWidth="1"/>
    <col min="12" max="12" width="45.42578125" bestFit="1" customWidth="1"/>
    <col min="13" max="13" width="37" bestFit="1" customWidth="1"/>
    <col min="14" max="14" width="32.28515625" style="3" bestFit="1" customWidth="1"/>
    <col min="15" max="15" width="24.5703125" style="11" bestFit="1" customWidth="1"/>
    <col min="16" max="16" width="20" style="11" bestFit="1" customWidth="1"/>
  </cols>
  <sheetData>
    <row r="1" spans="1:16" x14ac:dyDescent="0.25">
      <c r="A1" s="5" t="s">
        <v>0</v>
      </c>
      <c r="B1" s="5" t="s">
        <v>1</v>
      </c>
      <c r="C1" s="5" t="s">
        <v>2</v>
      </c>
      <c r="D1" s="5" t="s">
        <v>212</v>
      </c>
      <c r="E1" s="5" t="s">
        <v>218</v>
      </c>
      <c r="F1" s="6" t="s">
        <v>223</v>
      </c>
      <c r="G1" s="7" t="s">
        <v>225</v>
      </c>
      <c r="H1" s="5" t="s">
        <v>236</v>
      </c>
      <c r="I1" s="7" t="s">
        <v>229</v>
      </c>
      <c r="J1" s="5" t="s">
        <v>238</v>
      </c>
      <c r="K1" s="5" t="s">
        <v>240</v>
      </c>
      <c r="L1" s="7" t="s">
        <v>233</v>
      </c>
      <c r="M1" s="12" t="s">
        <v>234</v>
      </c>
      <c r="N1" s="17" t="s">
        <v>241</v>
      </c>
      <c r="O1" s="7" t="s">
        <v>242</v>
      </c>
      <c r="P1" s="7" t="s">
        <v>243</v>
      </c>
    </row>
    <row r="2" spans="1:16" x14ac:dyDescent="0.35">
      <c r="A2" s="8" t="s">
        <v>3</v>
      </c>
      <c r="B2" s="8" t="s">
        <v>4</v>
      </c>
      <c r="C2" s="8" t="s">
        <v>5</v>
      </c>
      <c r="D2" s="8" t="s">
        <v>213</v>
      </c>
      <c r="E2" s="8" t="s">
        <v>219</v>
      </c>
      <c r="F2" s="9">
        <v>42000000</v>
      </c>
      <c r="G2" s="10">
        <v>50</v>
      </c>
      <c r="H2" s="8" t="s">
        <v>237</v>
      </c>
      <c r="I2" s="10">
        <v>90</v>
      </c>
      <c r="J2" s="8" t="s">
        <v>239</v>
      </c>
      <c r="K2" s="8" t="s">
        <v>239</v>
      </c>
      <c r="L2" s="10">
        <v>180</v>
      </c>
      <c r="M2" s="13">
        <v>10</v>
      </c>
      <c r="N2" s="10">
        <v>20000000000</v>
      </c>
      <c r="O2" s="15">
        <f>I2-L2</f>
        <v>-90</v>
      </c>
      <c r="P2" s="15">
        <f>N2/F2</f>
        <v>476.1904761904762</v>
      </c>
    </row>
    <row r="3" spans="1:16" x14ac:dyDescent="0.35">
      <c r="A3" s="8" t="s">
        <v>6</v>
      </c>
      <c r="B3" s="8" t="s">
        <v>7</v>
      </c>
      <c r="C3" s="8" t="s">
        <v>8</v>
      </c>
      <c r="D3" s="8" t="s">
        <v>214</v>
      </c>
      <c r="E3" s="8" t="s">
        <v>220</v>
      </c>
      <c r="F3" s="9">
        <v>2800000</v>
      </c>
      <c r="G3" s="10">
        <v>320</v>
      </c>
      <c r="H3" s="8" t="s">
        <v>224</v>
      </c>
      <c r="I3" s="10">
        <v>680</v>
      </c>
      <c r="J3" s="8" t="s">
        <v>221</v>
      </c>
      <c r="K3" s="8" t="s">
        <v>221</v>
      </c>
      <c r="L3" s="10">
        <v>520</v>
      </c>
      <c r="M3" s="13">
        <v>4</v>
      </c>
      <c r="N3" s="10">
        <v>28000000000</v>
      </c>
      <c r="O3" s="15">
        <f t="shared" ref="O3:O66" si="0">I3-L3</f>
        <v>160</v>
      </c>
      <c r="P3" s="15">
        <f>N3/F3</f>
        <v>10000</v>
      </c>
    </row>
    <row r="4" spans="1:16" x14ac:dyDescent="0.35">
      <c r="A4" s="8" t="s">
        <v>9</v>
      </c>
      <c r="B4" s="8" t="s">
        <v>10</v>
      </c>
      <c r="C4" s="8" t="s">
        <v>11</v>
      </c>
      <c r="D4" s="8" t="s">
        <v>214</v>
      </c>
      <c r="E4" s="8" t="s">
        <v>220</v>
      </c>
      <c r="F4" s="9">
        <v>46000000</v>
      </c>
      <c r="G4" s="10">
        <v>150</v>
      </c>
      <c r="H4" s="8" t="s">
        <v>221</v>
      </c>
      <c r="I4" s="10">
        <v>520</v>
      </c>
      <c r="J4" s="8" t="s">
        <v>221</v>
      </c>
      <c r="K4" s="8" t="s">
        <v>221</v>
      </c>
      <c r="L4" s="10">
        <v>450</v>
      </c>
      <c r="M4" s="13">
        <v>5</v>
      </c>
      <c r="N4" s="10">
        <v>260000000000</v>
      </c>
      <c r="O4" s="15">
        <f t="shared" si="0"/>
        <v>70</v>
      </c>
      <c r="P4" s="15">
        <f t="shared" ref="P4:P66" si="1">N4/F4</f>
        <v>5652.173913043478</v>
      </c>
    </row>
    <row r="5" spans="1:16" x14ac:dyDescent="0.35">
      <c r="A5" s="8" t="s">
        <v>12</v>
      </c>
      <c r="B5" s="8" t="s">
        <v>13</v>
      </c>
      <c r="C5" s="8" t="s">
        <v>14</v>
      </c>
      <c r="D5" s="8" t="s">
        <v>214</v>
      </c>
      <c r="E5" s="8" t="s">
        <v>220</v>
      </c>
      <c r="F5" s="9">
        <v>50000</v>
      </c>
      <c r="G5" s="10">
        <v>1200</v>
      </c>
      <c r="H5" s="8" t="s">
        <v>220</v>
      </c>
      <c r="I5" s="10">
        <v>2900</v>
      </c>
      <c r="J5" s="8" t="s">
        <v>220</v>
      </c>
      <c r="K5" s="8" t="s">
        <v>220</v>
      </c>
      <c r="L5" s="10">
        <v>1800</v>
      </c>
      <c r="M5" s="13">
        <v>3</v>
      </c>
      <c r="N5" s="10">
        <v>1000000000</v>
      </c>
      <c r="O5" s="15">
        <f t="shared" si="0"/>
        <v>1100</v>
      </c>
      <c r="P5" s="15">
        <f t="shared" si="1"/>
        <v>20000</v>
      </c>
    </row>
    <row r="6" spans="1:16" x14ac:dyDescent="0.35">
      <c r="A6" s="8" t="s">
        <v>15</v>
      </c>
      <c r="B6" s="8" t="s">
        <v>7</v>
      </c>
      <c r="C6" s="8" t="s">
        <v>8</v>
      </c>
      <c r="D6" s="8" t="s">
        <v>215</v>
      </c>
      <c r="E6" s="8" t="s">
        <v>221</v>
      </c>
      <c r="F6" s="9">
        <v>80000</v>
      </c>
      <c r="G6" s="10">
        <v>1600</v>
      </c>
      <c r="H6" s="8" t="s">
        <v>219</v>
      </c>
      <c r="I6" s="10">
        <v>3200</v>
      </c>
      <c r="J6" s="8" t="s">
        <v>220</v>
      </c>
      <c r="K6" s="8" t="s">
        <v>219</v>
      </c>
      <c r="L6" s="10">
        <v>2200</v>
      </c>
      <c r="M6" s="13">
        <v>3</v>
      </c>
      <c r="N6" s="10">
        <v>3000000000</v>
      </c>
      <c r="O6" s="15">
        <f t="shared" si="0"/>
        <v>1000</v>
      </c>
      <c r="P6" s="15">
        <f t="shared" si="1"/>
        <v>37500</v>
      </c>
    </row>
    <row r="7" spans="1:16" x14ac:dyDescent="0.35">
      <c r="A7" s="8" t="s">
        <v>16</v>
      </c>
      <c r="B7" s="8" t="s">
        <v>10</v>
      </c>
      <c r="C7" s="8" t="s">
        <v>17</v>
      </c>
      <c r="D7" s="8" t="s">
        <v>213</v>
      </c>
      <c r="E7" s="8" t="s">
        <v>219</v>
      </c>
      <c r="F7" s="9">
        <v>36000000</v>
      </c>
      <c r="G7" s="10">
        <v>70</v>
      </c>
      <c r="H7" s="8" t="s">
        <v>237</v>
      </c>
      <c r="I7" s="10">
        <v>210</v>
      </c>
      <c r="J7" s="8" t="s">
        <v>239</v>
      </c>
      <c r="K7" s="8" t="s">
        <v>221</v>
      </c>
      <c r="L7" s="10">
        <v>500</v>
      </c>
      <c r="M7" s="13">
        <v>20</v>
      </c>
      <c r="N7" s="10">
        <v>115000000000</v>
      </c>
      <c r="O7" s="15">
        <f t="shared" si="0"/>
        <v>-290</v>
      </c>
      <c r="P7" s="15">
        <f t="shared" si="1"/>
        <v>3194.4444444444443</v>
      </c>
    </row>
    <row r="8" spans="1:16" x14ac:dyDescent="0.35">
      <c r="A8" s="8" t="s">
        <v>18</v>
      </c>
      <c r="B8" s="8" t="s">
        <v>19</v>
      </c>
      <c r="C8" s="8" t="s">
        <v>20</v>
      </c>
      <c r="D8" s="8" t="s">
        <v>214</v>
      </c>
      <c r="E8" s="8" t="s">
        <v>220</v>
      </c>
      <c r="F8" s="9">
        <v>15000</v>
      </c>
      <c r="G8" s="10">
        <v>1000</v>
      </c>
      <c r="H8" s="8" t="s">
        <v>220</v>
      </c>
      <c r="I8" s="10">
        <v>2600</v>
      </c>
      <c r="J8" s="8" t="s">
        <v>220</v>
      </c>
      <c r="K8" s="8" t="s">
        <v>220</v>
      </c>
      <c r="L8" s="10">
        <v>2200</v>
      </c>
      <c r="M8" s="13">
        <v>3</v>
      </c>
      <c r="N8" s="10">
        <v>1000000000</v>
      </c>
      <c r="O8" s="15">
        <f t="shared" si="0"/>
        <v>400</v>
      </c>
      <c r="P8" s="15">
        <f t="shared" si="1"/>
        <v>66666.666666666672</v>
      </c>
    </row>
    <row r="9" spans="1:16" x14ac:dyDescent="0.35">
      <c r="A9" s="8" t="s">
        <v>21</v>
      </c>
      <c r="B9" s="8" t="s">
        <v>19</v>
      </c>
      <c r="C9" s="8" t="s">
        <v>20</v>
      </c>
      <c r="D9" s="8" t="s">
        <v>216</v>
      </c>
      <c r="E9" s="8" t="s">
        <v>222</v>
      </c>
      <c r="F9" s="9">
        <v>100000</v>
      </c>
      <c r="G9" s="10">
        <v>600</v>
      </c>
      <c r="H9" s="8" t="s">
        <v>224</v>
      </c>
      <c r="I9" s="10">
        <v>1900</v>
      </c>
      <c r="J9" s="8" t="s">
        <v>224</v>
      </c>
      <c r="K9" s="8" t="s">
        <v>220</v>
      </c>
      <c r="L9" s="10">
        <v>2000</v>
      </c>
      <c r="M9" s="13">
        <v>4</v>
      </c>
      <c r="N9" s="10">
        <v>2000000000</v>
      </c>
      <c r="O9" s="15">
        <f t="shared" si="0"/>
        <v>-100</v>
      </c>
      <c r="P9" s="15">
        <f t="shared" si="1"/>
        <v>20000</v>
      </c>
    </row>
    <row r="10" spans="1:16" x14ac:dyDescent="0.35">
      <c r="A10" s="8" t="s">
        <v>22</v>
      </c>
      <c r="B10" s="8" t="s">
        <v>23</v>
      </c>
      <c r="C10" s="8" t="s">
        <v>23</v>
      </c>
      <c r="D10" s="8" t="s">
        <v>216</v>
      </c>
      <c r="E10" s="8" t="s">
        <v>222</v>
      </c>
      <c r="F10" s="9">
        <v>46000000</v>
      </c>
      <c r="G10" s="10">
        <v>200</v>
      </c>
      <c r="H10" s="8" t="s">
        <v>221</v>
      </c>
      <c r="I10" s="10">
        <v>640</v>
      </c>
      <c r="J10" s="8" t="s">
        <v>221</v>
      </c>
      <c r="K10" s="8" t="s">
        <v>224</v>
      </c>
      <c r="L10" s="10">
        <v>650</v>
      </c>
      <c r="M10" s="13">
        <v>30</v>
      </c>
      <c r="N10" s="10">
        <v>620000000000</v>
      </c>
      <c r="O10" s="15">
        <f t="shared" si="0"/>
        <v>-10</v>
      </c>
      <c r="P10" s="15">
        <f t="shared" si="1"/>
        <v>13478.260869565218</v>
      </c>
    </row>
    <row r="11" spans="1:16" x14ac:dyDescent="0.35">
      <c r="A11" s="8" t="s">
        <v>24</v>
      </c>
      <c r="B11" s="8" t="s">
        <v>4</v>
      </c>
      <c r="C11" s="8" t="s">
        <v>25</v>
      </c>
      <c r="D11" s="8" t="s">
        <v>214</v>
      </c>
      <c r="E11" s="8" t="s">
        <v>220</v>
      </c>
      <c r="F11" s="9">
        <v>3000000</v>
      </c>
      <c r="G11" s="10">
        <v>300</v>
      </c>
      <c r="H11" s="8" t="s">
        <v>224</v>
      </c>
      <c r="I11" s="10">
        <v>720</v>
      </c>
      <c r="J11" s="8" t="s">
        <v>221</v>
      </c>
      <c r="K11" s="8" t="s">
        <v>221</v>
      </c>
      <c r="L11" s="10">
        <v>500</v>
      </c>
      <c r="M11" s="13">
        <v>4</v>
      </c>
      <c r="N11" s="10">
        <v>28000000000</v>
      </c>
      <c r="O11" s="15">
        <f t="shared" si="0"/>
        <v>220</v>
      </c>
      <c r="P11" s="15">
        <f t="shared" si="1"/>
        <v>9333.3333333333339</v>
      </c>
    </row>
    <row r="12" spans="1:16" x14ac:dyDescent="0.35">
      <c r="A12" s="8" t="s">
        <v>26</v>
      </c>
      <c r="B12" s="8" t="s">
        <v>19</v>
      </c>
      <c r="C12" s="8" t="s">
        <v>20</v>
      </c>
      <c r="D12" s="8" t="s">
        <v>216</v>
      </c>
      <c r="E12" s="8" t="s">
        <v>222</v>
      </c>
      <c r="F12" s="9">
        <v>110000</v>
      </c>
      <c r="G12" s="10">
        <v>900</v>
      </c>
      <c r="H12" s="8" t="s">
        <v>220</v>
      </c>
      <c r="I12" s="10">
        <v>2400</v>
      </c>
      <c r="J12" s="8" t="s">
        <v>220</v>
      </c>
      <c r="K12" s="8" t="s">
        <v>219</v>
      </c>
      <c r="L12" s="10">
        <v>2400</v>
      </c>
      <c r="M12" s="13">
        <v>4</v>
      </c>
      <c r="N12" s="10">
        <v>4000000000</v>
      </c>
      <c r="O12" s="15">
        <f t="shared" si="0"/>
        <v>0</v>
      </c>
      <c r="P12" s="15">
        <f t="shared" si="1"/>
        <v>36363.63636363636</v>
      </c>
    </row>
    <row r="13" spans="1:16" x14ac:dyDescent="0.35">
      <c r="A13" s="8" t="s">
        <v>27</v>
      </c>
      <c r="B13" s="8" t="s">
        <v>13</v>
      </c>
      <c r="C13" s="8" t="s">
        <v>28</v>
      </c>
      <c r="D13" s="8" t="s">
        <v>215</v>
      </c>
      <c r="E13" s="8" t="s">
        <v>221</v>
      </c>
      <c r="F13" s="9">
        <v>26000000</v>
      </c>
      <c r="G13" s="10">
        <v>2600</v>
      </c>
      <c r="H13" s="8" t="s">
        <v>219</v>
      </c>
      <c r="I13" s="10">
        <v>5000</v>
      </c>
      <c r="J13" s="8" t="s">
        <v>219</v>
      </c>
      <c r="K13" s="8" t="s">
        <v>219</v>
      </c>
      <c r="L13" s="10">
        <v>2800</v>
      </c>
      <c r="M13" s="13">
        <v>3</v>
      </c>
      <c r="N13" s="10">
        <v>1800000000000</v>
      </c>
      <c r="O13" s="15">
        <f t="shared" si="0"/>
        <v>2200</v>
      </c>
      <c r="P13" s="15">
        <f t="shared" si="1"/>
        <v>69230.769230769234</v>
      </c>
    </row>
    <row r="14" spans="1:16" x14ac:dyDescent="0.35">
      <c r="A14" s="8" t="s">
        <v>29</v>
      </c>
      <c r="B14" s="8" t="s">
        <v>7</v>
      </c>
      <c r="C14" s="8" t="s">
        <v>30</v>
      </c>
      <c r="D14" s="8" t="s">
        <v>215</v>
      </c>
      <c r="E14" s="8" t="s">
        <v>221</v>
      </c>
      <c r="F14" s="9">
        <v>9000000</v>
      </c>
      <c r="G14" s="10">
        <v>0</v>
      </c>
      <c r="H14" s="8" t="s">
        <v>219</v>
      </c>
      <c r="I14" s="10">
        <v>4300</v>
      </c>
      <c r="J14" s="8" t="s">
        <v>220</v>
      </c>
      <c r="K14" s="8" t="s">
        <v>219</v>
      </c>
      <c r="L14" s="10">
        <v>2700</v>
      </c>
      <c r="M14" s="13">
        <v>3</v>
      </c>
      <c r="N14" s="10">
        <v>690000000000</v>
      </c>
      <c r="O14" s="15">
        <f t="shared" si="0"/>
        <v>1600</v>
      </c>
      <c r="P14" s="15">
        <f t="shared" si="1"/>
        <v>76666.666666666672</v>
      </c>
    </row>
    <row r="15" spans="1:16" x14ac:dyDescent="0.35">
      <c r="A15" s="8" t="s">
        <v>31</v>
      </c>
      <c r="B15" s="8" t="s">
        <v>4</v>
      </c>
      <c r="C15" s="8" t="s">
        <v>25</v>
      </c>
      <c r="D15" s="8" t="s">
        <v>214</v>
      </c>
      <c r="E15" s="8" t="s">
        <v>220</v>
      </c>
      <c r="F15" s="9">
        <v>10000000</v>
      </c>
      <c r="G15" s="10">
        <v>200</v>
      </c>
      <c r="H15" s="8" t="s">
        <v>221</v>
      </c>
      <c r="I15" s="10">
        <v>560</v>
      </c>
      <c r="J15" s="8" t="s">
        <v>221</v>
      </c>
      <c r="K15" s="8" t="s">
        <v>221</v>
      </c>
      <c r="L15" s="10">
        <v>420</v>
      </c>
      <c r="M15" s="13">
        <v>5</v>
      </c>
      <c r="N15" s="10">
        <v>85000000000</v>
      </c>
      <c r="O15" s="15">
        <f t="shared" si="0"/>
        <v>140</v>
      </c>
      <c r="P15" s="15">
        <f t="shared" si="1"/>
        <v>8500</v>
      </c>
    </row>
    <row r="16" spans="1:16" x14ac:dyDescent="0.35">
      <c r="A16" s="8" t="s">
        <v>32</v>
      </c>
      <c r="B16" s="8" t="s">
        <v>19</v>
      </c>
      <c r="C16" s="8" t="s">
        <v>20</v>
      </c>
      <c r="D16" s="8" t="s">
        <v>216</v>
      </c>
      <c r="E16" s="8" t="s">
        <v>222</v>
      </c>
      <c r="F16" s="9">
        <v>400000</v>
      </c>
      <c r="G16" s="10">
        <v>900</v>
      </c>
      <c r="H16" s="8" t="s">
        <v>220</v>
      </c>
      <c r="I16" s="10">
        <v>2900</v>
      </c>
      <c r="J16" s="8" t="s">
        <v>220</v>
      </c>
      <c r="K16" s="8" t="s">
        <v>219</v>
      </c>
      <c r="L16" s="10">
        <v>2500</v>
      </c>
      <c r="M16" s="13">
        <v>4</v>
      </c>
      <c r="N16" s="10">
        <v>14000000000</v>
      </c>
      <c r="O16" s="15">
        <f t="shared" si="0"/>
        <v>400</v>
      </c>
      <c r="P16" s="15">
        <f t="shared" si="1"/>
        <v>35000</v>
      </c>
    </row>
    <row r="17" spans="1:16" x14ac:dyDescent="0.35">
      <c r="A17" s="8" t="s">
        <v>33</v>
      </c>
      <c r="B17" s="8" t="s">
        <v>4</v>
      </c>
      <c r="C17" s="8" t="s">
        <v>25</v>
      </c>
      <c r="D17" s="8" t="s">
        <v>215</v>
      </c>
      <c r="E17" s="8" t="s">
        <v>221</v>
      </c>
      <c r="F17" s="9">
        <v>1700000</v>
      </c>
      <c r="G17" s="10">
        <v>1000</v>
      </c>
      <c r="H17" s="8" t="s">
        <v>220</v>
      </c>
      <c r="I17" s="10">
        <v>3200</v>
      </c>
      <c r="J17" s="8" t="s">
        <v>220</v>
      </c>
      <c r="K17" s="8" t="s">
        <v>220</v>
      </c>
      <c r="L17" s="10">
        <v>1800</v>
      </c>
      <c r="M17" s="13">
        <v>2</v>
      </c>
      <c r="N17" s="10">
        <v>60000000000</v>
      </c>
      <c r="O17" s="15">
        <f t="shared" si="0"/>
        <v>1400</v>
      </c>
      <c r="P17" s="15">
        <f t="shared" si="1"/>
        <v>35294.117647058825</v>
      </c>
    </row>
    <row r="18" spans="1:16" x14ac:dyDescent="0.35">
      <c r="A18" s="8" t="s">
        <v>34</v>
      </c>
      <c r="B18" s="8" t="s">
        <v>4</v>
      </c>
      <c r="C18" s="8" t="s">
        <v>5</v>
      </c>
      <c r="D18" s="8" t="s">
        <v>214</v>
      </c>
      <c r="E18" s="8" t="s">
        <v>220</v>
      </c>
      <c r="F18" s="9">
        <v>173000000</v>
      </c>
      <c r="G18" s="10">
        <v>75</v>
      </c>
      <c r="H18" s="8" t="s">
        <v>237</v>
      </c>
      <c r="I18" s="10">
        <v>260</v>
      </c>
      <c r="J18" s="8" t="s">
        <v>239</v>
      </c>
      <c r="K18" s="8" t="s">
        <v>239</v>
      </c>
      <c r="L18" s="10">
        <v>220</v>
      </c>
      <c r="M18" s="13">
        <v>8</v>
      </c>
      <c r="N18" s="10">
        <v>560000000000</v>
      </c>
      <c r="O18" s="15">
        <f t="shared" si="0"/>
        <v>40</v>
      </c>
      <c r="P18" s="15">
        <f t="shared" si="1"/>
        <v>3236.9942196531792</v>
      </c>
    </row>
    <row r="19" spans="1:16" x14ac:dyDescent="0.35">
      <c r="A19" s="8" t="s">
        <v>35</v>
      </c>
      <c r="B19" s="8" t="s">
        <v>19</v>
      </c>
      <c r="C19" s="8" t="s">
        <v>20</v>
      </c>
      <c r="D19" s="8" t="s">
        <v>216</v>
      </c>
      <c r="E19" s="8" t="s">
        <v>222</v>
      </c>
      <c r="F19" s="9">
        <v>280000</v>
      </c>
      <c r="G19" s="10">
        <v>700</v>
      </c>
      <c r="H19" s="8" t="s">
        <v>220</v>
      </c>
      <c r="I19" s="10">
        <v>2200</v>
      </c>
      <c r="J19" s="8" t="s">
        <v>220</v>
      </c>
      <c r="K19" s="8" t="s">
        <v>220</v>
      </c>
      <c r="L19" s="10">
        <v>2100</v>
      </c>
      <c r="M19" s="13">
        <v>4</v>
      </c>
      <c r="N19" s="10">
        <v>7000000000</v>
      </c>
      <c r="O19" s="15">
        <f t="shared" si="0"/>
        <v>100</v>
      </c>
      <c r="P19" s="15">
        <f t="shared" si="1"/>
        <v>25000</v>
      </c>
    </row>
    <row r="20" spans="1:16" x14ac:dyDescent="0.35">
      <c r="A20" s="8" t="s">
        <v>36</v>
      </c>
      <c r="B20" s="8" t="s">
        <v>7</v>
      </c>
      <c r="C20" s="8" t="s">
        <v>37</v>
      </c>
      <c r="D20" s="8" t="s">
        <v>214</v>
      </c>
      <c r="E20" s="8" t="s">
        <v>220</v>
      </c>
      <c r="F20" s="9">
        <v>9200000</v>
      </c>
      <c r="G20" s="10">
        <v>250</v>
      </c>
      <c r="H20" s="8" t="s">
        <v>221</v>
      </c>
      <c r="I20" s="10">
        <v>700</v>
      </c>
      <c r="J20" s="8" t="s">
        <v>221</v>
      </c>
      <c r="K20" s="8" t="s">
        <v>221</v>
      </c>
      <c r="L20" s="10">
        <v>450</v>
      </c>
      <c r="M20" s="13">
        <v>6</v>
      </c>
      <c r="N20" s="10">
        <v>85000000000</v>
      </c>
      <c r="O20" s="15">
        <f t="shared" si="0"/>
        <v>250</v>
      </c>
      <c r="P20" s="15">
        <f t="shared" si="1"/>
        <v>9239.1304347826081</v>
      </c>
    </row>
    <row r="21" spans="1:16" x14ac:dyDescent="0.35">
      <c r="A21" s="8" t="s">
        <v>38</v>
      </c>
      <c r="B21" s="8" t="s">
        <v>7</v>
      </c>
      <c r="C21" s="8" t="s">
        <v>30</v>
      </c>
      <c r="D21" s="8" t="s">
        <v>215</v>
      </c>
      <c r="E21" s="8" t="s">
        <v>221</v>
      </c>
      <c r="F21" s="9">
        <v>11700000</v>
      </c>
      <c r="G21" s="10">
        <v>2000</v>
      </c>
      <c r="H21" s="8" t="s">
        <v>219</v>
      </c>
      <c r="I21" s="10">
        <v>3900</v>
      </c>
      <c r="J21" s="8" t="s">
        <v>219</v>
      </c>
      <c r="K21" s="8" t="s">
        <v>219</v>
      </c>
      <c r="L21" s="10">
        <v>2600</v>
      </c>
      <c r="M21" s="13">
        <v>3</v>
      </c>
      <c r="N21" s="10">
        <v>780000000000</v>
      </c>
      <c r="O21" s="15">
        <f t="shared" si="0"/>
        <v>1300</v>
      </c>
      <c r="P21" s="15">
        <f t="shared" si="1"/>
        <v>66666.666666666672</v>
      </c>
    </row>
    <row r="22" spans="1:16" x14ac:dyDescent="0.35">
      <c r="A22" s="8" t="s">
        <v>39</v>
      </c>
      <c r="B22" s="8" t="s">
        <v>19</v>
      </c>
      <c r="C22" s="8" t="s">
        <v>40</v>
      </c>
      <c r="D22" s="8" t="s">
        <v>214</v>
      </c>
      <c r="E22" s="8" t="s">
        <v>220</v>
      </c>
      <c r="F22" s="9">
        <v>430000</v>
      </c>
      <c r="G22" s="10">
        <v>350</v>
      </c>
      <c r="H22" s="8" t="s">
        <v>224</v>
      </c>
      <c r="I22" s="10">
        <v>1050</v>
      </c>
      <c r="J22" s="8" t="s">
        <v>224</v>
      </c>
      <c r="K22" s="8" t="s">
        <v>224</v>
      </c>
      <c r="L22" s="10">
        <v>700</v>
      </c>
      <c r="M22" s="13">
        <v>5</v>
      </c>
      <c r="N22" s="10">
        <v>3500000000</v>
      </c>
      <c r="O22" s="15">
        <f t="shared" si="0"/>
        <v>350</v>
      </c>
      <c r="P22" s="15">
        <f t="shared" si="1"/>
        <v>8139.5348837209303</v>
      </c>
    </row>
    <row r="23" spans="1:16" x14ac:dyDescent="0.35">
      <c r="A23" s="8" t="s">
        <v>41</v>
      </c>
      <c r="B23" s="8" t="s">
        <v>10</v>
      </c>
      <c r="C23" s="8" t="s">
        <v>42</v>
      </c>
      <c r="D23" s="8" t="s">
        <v>213</v>
      </c>
      <c r="E23" s="8" t="s">
        <v>219</v>
      </c>
      <c r="F23" s="9">
        <v>14000000</v>
      </c>
      <c r="G23" s="10">
        <v>80</v>
      </c>
      <c r="H23" s="8" t="s">
        <v>237</v>
      </c>
      <c r="I23" s="10">
        <v>250</v>
      </c>
      <c r="J23" s="8" t="s">
        <v>239</v>
      </c>
      <c r="K23" s="8" t="s">
        <v>239</v>
      </c>
      <c r="L23" s="10">
        <v>250</v>
      </c>
      <c r="M23" s="13">
        <v>3</v>
      </c>
      <c r="N23" s="10">
        <v>27000000000</v>
      </c>
      <c r="O23" s="15">
        <f t="shared" si="0"/>
        <v>0</v>
      </c>
      <c r="P23" s="15">
        <f t="shared" si="1"/>
        <v>1928.5714285714287</v>
      </c>
    </row>
    <row r="24" spans="1:16" x14ac:dyDescent="0.35">
      <c r="A24" s="8" t="s">
        <v>43</v>
      </c>
      <c r="B24" s="8" t="s">
        <v>19</v>
      </c>
      <c r="C24" s="8" t="s">
        <v>20</v>
      </c>
      <c r="D24" s="8" t="s">
        <v>215</v>
      </c>
      <c r="E24" s="8" t="s">
        <v>221</v>
      </c>
      <c r="F24" s="9">
        <v>64000</v>
      </c>
      <c r="G24" s="10">
        <v>1800</v>
      </c>
      <c r="H24" s="8" t="s">
        <v>219</v>
      </c>
      <c r="I24" s="10">
        <v>5500</v>
      </c>
      <c r="J24" s="8" t="s">
        <v>219</v>
      </c>
      <c r="K24" s="8" t="s">
        <v>219</v>
      </c>
      <c r="L24" s="10">
        <v>3500</v>
      </c>
      <c r="M24" s="13">
        <v>3</v>
      </c>
      <c r="N24" s="10">
        <v>6000000000</v>
      </c>
      <c r="O24" s="15">
        <f t="shared" si="0"/>
        <v>2000</v>
      </c>
      <c r="P24" s="15">
        <f t="shared" si="1"/>
        <v>93750</v>
      </c>
    </row>
    <row r="25" spans="1:16" x14ac:dyDescent="0.35">
      <c r="A25" s="8" t="s">
        <v>44</v>
      </c>
      <c r="B25" s="8" t="s">
        <v>4</v>
      </c>
      <c r="C25" s="8" t="s">
        <v>5</v>
      </c>
      <c r="D25" s="8" t="s">
        <v>214</v>
      </c>
      <c r="E25" s="8" t="s">
        <v>220</v>
      </c>
      <c r="F25" s="9">
        <v>800000</v>
      </c>
      <c r="G25" s="10">
        <v>150</v>
      </c>
      <c r="H25" s="8" t="s">
        <v>221</v>
      </c>
      <c r="I25" s="10">
        <v>400</v>
      </c>
      <c r="J25" s="8" t="s">
        <v>239</v>
      </c>
      <c r="K25" s="8" t="s">
        <v>239</v>
      </c>
      <c r="L25" s="10">
        <v>280</v>
      </c>
      <c r="M25" s="13">
        <v>4</v>
      </c>
      <c r="N25" s="10">
        <v>3500000000</v>
      </c>
      <c r="O25" s="15">
        <f t="shared" si="0"/>
        <v>120</v>
      </c>
      <c r="P25" s="15">
        <f t="shared" si="1"/>
        <v>4375</v>
      </c>
    </row>
    <row r="26" spans="1:16" x14ac:dyDescent="0.35">
      <c r="A26" s="8" t="s">
        <v>45</v>
      </c>
      <c r="B26" s="8" t="s">
        <v>23</v>
      </c>
      <c r="C26" s="8" t="s">
        <v>23</v>
      </c>
      <c r="D26" s="8" t="s">
        <v>214</v>
      </c>
      <c r="E26" s="8" t="s">
        <v>220</v>
      </c>
      <c r="F26" s="9">
        <v>12500000</v>
      </c>
      <c r="G26" s="10">
        <v>350</v>
      </c>
      <c r="H26" s="8" t="s">
        <v>224</v>
      </c>
      <c r="I26" s="10">
        <v>720</v>
      </c>
      <c r="J26" s="8" t="s">
        <v>221</v>
      </c>
      <c r="K26" s="8" t="s">
        <v>239</v>
      </c>
      <c r="L26" s="10">
        <v>350</v>
      </c>
      <c r="M26" s="13">
        <v>4</v>
      </c>
      <c r="N26" s="10">
        <v>75000000000</v>
      </c>
      <c r="O26" s="15">
        <f t="shared" si="0"/>
        <v>370</v>
      </c>
      <c r="P26" s="15">
        <f t="shared" si="1"/>
        <v>6000</v>
      </c>
    </row>
    <row r="27" spans="1:16" x14ac:dyDescent="0.35">
      <c r="A27" s="8" t="s">
        <v>46</v>
      </c>
      <c r="B27" s="8" t="s">
        <v>7</v>
      </c>
      <c r="C27" s="8" t="s">
        <v>8</v>
      </c>
      <c r="D27" s="8" t="s">
        <v>214</v>
      </c>
      <c r="E27" s="8" t="s">
        <v>220</v>
      </c>
      <c r="F27" s="9">
        <v>3200000</v>
      </c>
      <c r="G27" s="10">
        <v>400</v>
      </c>
      <c r="H27" s="8" t="s">
        <v>224</v>
      </c>
      <c r="I27" s="10">
        <v>900</v>
      </c>
      <c r="J27" s="8" t="s">
        <v>221</v>
      </c>
      <c r="K27" s="8" t="s">
        <v>221</v>
      </c>
      <c r="L27" s="10">
        <v>600</v>
      </c>
      <c r="M27" s="13">
        <v>4</v>
      </c>
      <c r="N27" s="10">
        <v>50000000000</v>
      </c>
      <c r="O27" s="15">
        <f t="shared" si="0"/>
        <v>300</v>
      </c>
      <c r="P27" s="15">
        <f t="shared" si="1"/>
        <v>15625</v>
      </c>
    </row>
    <row r="28" spans="1:16" x14ac:dyDescent="0.35">
      <c r="A28" s="8" t="s">
        <v>47</v>
      </c>
      <c r="B28" s="8" t="s">
        <v>10</v>
      </c>
      <c r="C28" s="8" t="s">
        <v>48</v>
      </c>
      <c r="D28" s="8" t="s">
        <v>214</v>
      </c>
      <c r="E28" s="8" t="s">
        <v>220</v>
      </c>
      <c r="F28" s="9">
        <v>2700000</v>
      </c>
      <c r="G28" s="10">
        <v>300</v>
      </c>
      <c r="H28" s="8" t="s">
        <v>224</v>
      </c>
      <c r="I28" s="10">
        <v>950</v>
      </c>
      <c r="J28" s="8" t="s">
        <v>221</v>
      </c>
      <c r="K28" s="8" t="s">
        <v>221</v>
      </c>
      <c r="L28" s="10">
        <v>550</v>
      </c>
      <c r="M28" s="13">
        <v>5</v>
      </c>
      <c r="N28" s="10">
        <v>20000000000</v>
      </c>
      <c r="O28" s="15">
        <f t="shared" si="0"/>
        <v>400</v>
      </c>
      <c r="P28" s="15">
        <f t="shared" si="1"/>
        <v>7407.4074074074078</v>
      </c>
    </row>
    <row r="29" spans="1:16" x14ac:dyDescent="0.35">
      <c r="A29" s="8" t="s">
        <v>49</v>
      </c>
      <c r="B29" s="8" t="s">
        <v>23</v>
      </c>
      <c r="C29" s="8" t="s">
        <v>23</v>
      </c>
      <c r="D29" s="8" t="s">
        <v>216</v>
      </c>
      <c r="E29" s="8" t="s">
        <v>222</v>
      </c>
      <c r="F29" s="9">
        <v>216000000</v>
      </c>
      <c r="G29" s="10">
        <v>280</v>
      </c>
      <c r="H29" s="8" t="s">
        <v>224</v>
      </c>
      <c r="I29" s="10">
        <v>720</v>
      </c>
      <c r="J29" s="8" t="s">
        <v>221</v>
      </c>
      <c r="K29" s="8" t="s">
        <v>224</v>
      </c>
      <c r="L29" s="10">
        <v>800</v>
      </c>
      <c r="M29" s="13">
        <v>4</v>
      </c>
      <c r="N29" s="10">
        <v>2400000000000</v>
      </c>
      <c r="O29" s="15">
        <f t="shared" si="0"/>
        <v>-80</v>
      </c>
      <c r="P29" s="15">
        <f t="shared" si="1"/>
        <v>11111.111111111111</v>
      </c>
    </row>
    <row r="30" spans="1:16" x14ac:dyDescent="0.35">
      <c r="A30" s="8" t="s">
        <v>50</v>
      </c>
      <c r="B30" s="8" t="s">
        <v>4</v>
      </c>
      <c r="C30" s="8" t="s">
        <v>51</v>
      </c>
      <c r="D30" s="8" t="s">
        <v>215</v>
      </c>
      <c r="E30" s="8" t="s">
        <v>221</v>
      </c>
      <c r="F30" s="9">
        <v>450000</v>
      </c>
      <c r="G30" s="10">
        <v>900</v>
      </c>
      <c r="H30" s="8" t="s">
        <v>220</v>
      </c>
      <c r="I30" s="10">
        <v>3200</v>
      </c>
      <c r="J30" s="8" t="s">
        <v>220</v>
      </c>
      <c r="K30" s="8" t="s">
        <v>224</v>
      </c>
      <c r="L30" s="10">
        <v>1600</v>
      </c>
      <c r="M30" s="13">
        <v>1</v>
      </c>
      <c r="N30" s="10">
        <v>16000000000</v>
      </c>
      <c r="O30" s="15">
        <f t="shared" si="0"/>
        <v>1600</v>
      </c>
      <c r="P30" s="15">
        <f t="shared" si="1"/>
        <v>35555.555555555555</v>
      </c>
    </row>
    <row r="31" spans="1:16" x14ac:dyDescent="0.35">
      <c r="A31" s="8" t="s">
        <v>52</v>
      </c>
      <c r="B31" s="8" t="s">
        <v>7</v>
      </c>
      <c r="C31" s="8" t="s">
        <v>37</v>
      </c>
      <c r="D31" s="8" t="s">
        <v>217</v>
      </c>
      <c r="E31" s="8" t="s">
        <v>222</v>
      </c>
      <c r="F31" s="9">
        <v>6400000</v>
      </c>
      <c r="G31" s="10">
        <v>600</v>
      </c>
      <c r="H31" s="8" t="s">
        <v>220</v>
      </c>
      <c r="I31" s="10">
        <v>1350</v>
      </c>
      <c r="J31" s="8" t="s">
        <v>221</v>
      </c>
      <c r="K31" s="8" t="s">
        <v>221</v>
      </c>
      <c r="L31" s="10">
        <v>650</v>
      </c>
      <c r="M31" s="13">
        <v>4</v>
      </c>
      <c r="N31" s="10">
        <v>135000000000</v>
      </c>
      <c r="O31" s="15">
        <f t="shared" si="0"/>
        <v>700</v>
      </c>
      <c r="P31" s="15">
        <f t="shared" si="1"/>
        <v>21093.75</v>
      </c>
    </row>
    <row r="32" spans="1:16" x14ac:dyDescent="0.35">
      <c r="A32" s="8" t="s">
        <v>53</v>
      </c>
      <c r="B32" s="8" t="s">
        <v>10</v>
      </c>
      <c r="C32" s="8" t="s">
        <v>42</v>
      </c>
      <c r="D32" s="8" t="s">
        <v>213</v>
      </c>
      <c r="E32" s="8" t="s">
        <v>219</v>
      </c>
      <c r="F32" s="9">
        <v>23000000</v>
      </c>
      <c r="G32" s="10">
        <v>70</v>
      </c>
      <c r="H32" s="8" t="s">
        <v>237</v>
      </c>
      <c r="I32" s="10">
        <v>210</v>
      </c>
      <c r="J32" s="8" t="s">
        <v>239</v>
      </c>
      <c r="K32" s="8" t="s">
        <v>239</v>
      </c>
      <c r="L32" s="10">
        <v>220</v>
      </c>
      <c r="M32" s="13">
        <v>3</v>
      </c>
      <c r="N32" s="10">
        <v>23000000000</v>
      </c>
      <c r="O32" s="15">
        <f t="shared" si="0"/>
        <v>-10</v>
      </c>
      <c r="P32" s="15">
        <f t="shared" si="1"/>
        <v>1000</v>
      </c>
    </row>
    <row r="33" spans="1:16" x14ac:dyDescent="0.35">
      <c r="A33" s="8" t="s">
        <v>54</v>
      </c>
      <c r="B33" s="8" t="s">
        <v>4</v>
      </c>
      <c r="C33" s="8" t="s">
        <v>51</v>
      </c>
      <c r="D33" s="8" t="s">
        <v>213</v>
      </c>
      <c r="E33" s="8" t="s">
        <v>219</v>
      </c>
      <c r="F33" s="9">
        <v>55000000</v>
      </c>
      <c r="G33" s="10">
        <v>60</v>
      </c>
      <c r="H33" s="8" t="s">
        <v>237</v>
      </c>
      <c r="I33" s="10">
        <v>170</v>
      </c>
      <c r="J33" s="8" t="s">
        <v>239</v>
      </c>
      <c r="K33" s="8" t="s">
        <v>239</v>
      </c>
      <c r="L33" s="10">
        <v>200</v>
      </c>
      <c r="M33" s="13">
        <v>20</v>
      </c>
      <c r="N33" s="10">
        <v>70000000000</v>
      </c>
      <c r="O33" s="15">
        <f t="shared" si="0"/>
        <v>-30</v>
      </c>
      <c r="P33" s="15">
        <f t="shared" si="1"/>
        <v>1272.7272727272727</v>
      </c>
    </row>
    <row r="34" spans="1:16" x14ac:dyDescent="0.35">
      <c r="A34" s="8" t="s">
        <v>55</v>
      </c>
      <c r="B34" s="8" t="s">
        <v>10</v>
      </c>
      <c r="C34" s="8" t="s">
        <v>56</v>
      </c>
      <c r="D34" s="8" t="s">
        <v>213</v>
      </c>
      <c r="E34" s="8" t="s">
        <v>219</v>
      </c>
      <c r="F34" s="9">
        <v>13000000</v>
      </c>
      <c r="G34" s="10">
        <v>30</v>
      </c>
      <c r="H34" s="8" t="s">
        <v>237</v>
      </c>
      <c r="I34" s="10">
        <v>90</v>
      </c>
      <c r="J34" s="8" t="s">
        <v>239</v>
      </c>
      <c r="K34" s="8" t="s">
        <v>239</v>
      </c>
      <c r="L34" s="10">
        <v>180</v>
      </c>
      <c r="M34" s="13">
        <v>8</v>
      </c>
      <c r="N34" s="10">
        <v>12000000000</v>
      </c>
      <c r="O34" s="15">
        <f t="shared" si="0"/>
        <v>-90</v>
      </c>
      <c r="P34" s="15">
        <f t="shared" si="1"/>
        <v>923.07692307692309</v>
      </c>
    </row>
    <row r="35" spans="1:16" x14ac:dyDescent="0.35">
      <c r="A35" s="8" t="s">
        <v>57</v>
      </c>
      <c r="B35" s="8" t="s">
        <v>4</v>
      </c>
      <c r="C35" s="8" t="s">
        <v>51</v>
      </c>
      <c r="D35" s="8" t="s">
        <v>214</v>
      </c>
      <c r="E35" s="8" t="s">
        <v>220</v>
      </c>
      <c r="F35" s="9">
        <v>17000000</v>
      </c>
      <c r="G35" s="10">
        <v>200</v>
      </c>
      <c r="H35" s="8" t="s">
        <v>221</v>
      </c>
      <c r="I35" s="10">
        <v>360</v>
      </c>
      <c r="J35" s="8" t="s">
        <v>239</v>
      </c>
      <c r="K35" s="8" t="s">
        <v>221</v>
      </c>
      <c r="L35" s="10">
        <v>380</v>
      </c>
      <c r="M35" s="13">
        <v>4</v>
      </c>
      <c r="N35" s="10">
        <v>60000000000</v>
      </c>
      <c r="O35" s="15">
        <f t="shared" si="0"/>
        <v>-20</v>
      </c>
      <c r="P35" s="15">
        <f t="shared" si="1"/>
        <v>3529.4117647058824</v>
      </c>
    </row>
    <row r="36" spans="1:16" x14ac:dyDescent="0.35">
      <c r="A36" s="8" t="s">
        <v>58</v>
      </c>
      <c r="B36" s="8" t="s">
        <v>10</v>
      </c>
      <c r="C36" s="8" t="s">
        <v>17</v>
      </c>
      <c r="D36" s="8" t="s">
        <v>213</v>
      </c>
      <c r="E36" s="8" t="s">
        <v>219</v>
      </c>
      <c r="F36" s="9">
        <v>29000000</v>
      </c>
      <c r="G36" s="10">
        <v>75</v>
      </c>
      <c r="H36" s="8" t="s">
        <v>237</v>
      </c>
      <c r="I36" s="10">
        <v>240</v>
      </c>
      <c r="J36" s="8" t="s">
        <v>239</v>
      </c>
      <c r="K36" s="8" t="s">
        <v>221</v>
      </c>
      <c r="L36" s="10">
        <v>350</v>
      </c>
      <c r="M36" s="13">
        <v>5</v>
      </c>
      <c r="N36" s="10">
        <v>70000000000</v>
      </c>
      <c r="O36" s="15">
        <f t="shared" si="0"/>
        <v>-110</v>
      </c>
      <c r="P36" s="15">
        <f t="shared" si="1"/>
        <v>2413.7931034482758</v>
      </c>
    </row>
    <row r="37" spans="1:16" x14ac:dyDescent="0.35">
      <c r="A37" s="8" t="s">
        <v>59</v>
      </c>
      <c r="B37" s="8" t="s">
        <v>19</v>
      </c>
      <c r="C37" s="8" t="s">
        <v>60</v>
      </c>
      <c r="D37" s="8" t="s">
        <v>215</v>
      </c>
      <c r="E37" s="8" t="s">
        <v>221</v>
      </c>
      <c r="F37" s="9">
        <v>41000000</v>
      </c>
      <c r="G37" s="10">
        <v>2200</v>
      </c>
      <c r="H37" s="8" t="s">
        <v>219</v>
      </c>
      <c r="I37" s="10">
        <v>4500</v>
      </c>
      <c r="J37" s="8" t="s">
        <v>219</v>
      </c>
      <c r="K37" s="8" t="s">
        <v>219</v>
      </c>
      <c r="L37" s="10">
        <v>3000</v>
      </c>
      <c r="M37" s="13">
        <v>3</v>
      </c>
      <c r="N37" s="10">
        <v>2300000000000</v>
      </c>
      <c r="O37" s="15">
        <f t="shared" si="0"/>
        <v>1500</v>
      </c>
      <c r="P37" s="15">
        <f t="shared" si="1"/>
        <v>56097.560975609755</v>
      </c>
    </row>
    <row r="38" spans="1:16" x14ac:dyDescent="0.35">
      <c r="A38" s="8" t="s">
        <v>61</v>
      </c>
      <c r="B38" s="8" t="s">
        <v>10</v>
      </c>
      <c r="C38" s="8" t="s">
        <v>42</v>
      </c>
      <c r="D38" s="8" t="s">
        <v>214</v>
      </c>
      <c r="E38" s="8" t="s">
        <v>220</v>
      </c>
      <c r="F38" s="9">
        <v>600000</v>
      </c>
      <c r="G38" s="10">
        <v>250</v>
      </c>
      <c r="H38" s="8" t="s">
        <v>221</v>
      </c>
      <c r="I38" s="10">
        <v>720</v>
      </c>
      <c r="J38" s="8" t="s">
        <v>221</v>
      </c>
      <c r="K38" s="8" t="s">
        <v>221</v>
      </c>
      <c r="L38" s="10">
        <v>550</v>
      </c>
      <c r="M38" s="13">
        <v>3</v>
      </c>
      <c r="N38" s="10">
        <v>7000000000</v>
      </c>
      <c r="O38" s="15">
        <f t="shared" si="0"/>
        <v>170</v>
      </c>
      <c r="P38" s="15">
        <f t="shared" si="1"/>
        <v>11666.666666666666</v>
      </c>
    </row>
    <row r="39" spans="1:16" x14ac:dyDescent="0.35">
      <c r="A39" s="8" t="s">
        <v>62</v>
      </c>
      <c r="B39" s="8" t="s">
        <v>19</v>
      </c>
      <c r="C39" s="8" t="s">
        <v>20</v>
      </c>
      <c r="D39" s="8" t="s">
        <v>215</v>
      </c>
      <c r="E39" s="8" t="s">
        <v>221</v>
      </c>
      <c r="F39" s="9">
        <v>85000</v>
      </c>
      <c r="G39" s="10">
        <v>1600</v>
      </c>
      <c r="H39" s="8" t="s">
        <v>219</v>
      </c>
      <c r="I39" s="10">
        <v>4500</v>
      </c>
      <c r="J39" s="8" t="s">
        <v>219</v>
      </c>
      <c r="K39" s="8" t="s">
        <v>219</v>
      </c>
      <c r="L39" s="10">
        <v>3200</v>
      </c>
      <c r="M39" s="13">
        <v>3</v>
      </c>
      <c r="N39" s="10">
        <v>6000000000</v>
      </c>
      <c r="O39" s="15">
        <f t="shared" si="0"/>
        <v>1300</v>
      </c>
      <c r="P39" s="15">
        <f t="shared" si="1"/>
        <v>70588.23529411765</v>
      </c>
    </row>
    <row r="40" spans="1:16" x14ac:dyDescent="0.35">
      <c r="A40" s="8" t="s">
        <v>63</v>
      </c>
      <c r="B40" s="8" t="s">
        <v>10</v>
      </c>
      <c r="C40" s="8" t="s">
        <v>17</v>
      </c>
      <c r="D40" s="8" t="s">
        <v>213</v>
      </c>
      <c r="E40" s="8" t="s">
        <v>219</v>
      </c>
      <c r="F40" s="9">
        <v>5000000</v>
      </c>
      <c r="G40" s="10">
        <v>40</v>
      </c>
      <c r="H40" s="8" t="s">
        <v>237</v>
      </c>
      <c r="I40" s="10">
        <v>110</v>
      </c>
      <c r="J40" s="8" t="s">
        <v>239</v>
      </c>
      <c r="K40" s="8" t="s">
        <v>239</v>
      </c>
      <c r="L40" s="10">
        <v>200</v>
      </c>
      <c r="M40" s="13">
        <v>4</v>
      </c>
      <c r="N40" s="10">
        <v>4500000000</v>
      </c>
      <c r="O40" s="15">
        <f t="shared" si="0"/>
        <v>-90</v>
      </c>
      <c r="P40" s="15">
        <f t="shared" si="1"/>
        <v>900</v>
      </c>
    </row>
    <row r="41" spans="1:16" x14ac:dyDescent="0.35">
      <c r="A41" s="8" t="s">
        <v>64</v>
      </c>
      <c r="B41" s="8" t="s">
        <v>10</v>
      </c>
      <c r="C41" s="8" t="s">
        <v>17</v>
      </c>
      <c r="D41" s="8" t="s">
        <v>213</v>
      </c>
      <c r="E41" s="8" t="s">
        <v>219</v>
      </c>
      <c r="F41" s="9">
        <v>18000000</v>
      </c>
      <c r="G41" s="10">
        <v>50</v>
      </c>
      <c r="H41" s="8" t="s">
        <v>237</v>
      </c>
      <c r="I41" s="10">
        <v>130</v>
      </c>
      <c r="J41" s="8" t="s">
        <v>239</v>
      </c>
      <c r="K41" s="8" t="s">
        <v>239</v>
      </c>
      <c r="L41" s="10">
        <v>220</v>
      </c>
      <c r="M41" s="13">
        <v>4</v>
      </c>
      <c r="N41" s="10">
        <v>18000000000</v>
      </c>
      <c r="O41" s="15">
        <f t="shared" si="0"/>
        <v>-90</v>
      </c>
      <c r="P41" s="15">
        <f t="shared" si="1"/>
        <v>1000</v>
      </c>
    </row>
    <row r="42" spans="1:16" x14ac:dyDescent="0.35">
      <c r="A42" s="8" t="s">
        <v>65</v>
      </c>
      <c r="B42" s="8" t="s">
        <v>23</v>
      </c>
      <c r="C42" s="8" t="s">
        <v>23</v>
      </c>
      <c r="D42" s="8" t="s">
        <v>215</v>
      </c>
      <c r="E42" s="8" t="s">
        <v>221</v>
      </c>
      <c r="F42" s="9">
        <v>20000000</v>
      </c>
      <c r="G42" s="10">
        <v>550</v>
      </c>
      <c r="H42" s="8" t="s">
        <v>224</v>
      </c>
      <c r="I42" s="10">
        <v>1450</v>
      </c>
      <c r="J42" s="8" t="s">
        <v>224</v>
      </c>
      <c r="K42" s="8" t="s">
        <v>224</v>
      </c>
      <c r="L42" s="10">
        <v>950</v>
      </c>
      <c r="M42" s="13">
        <v>4</v>
      </c>
      <c r="N42" s="10">
        <v>360000000000</v>
      </c>
      <c r="O42" s="15">
        <f t="shared" si="0"/>
        <v>500</v>
      </c>
      <c r="P42" s="15">
        <f t="shared" si="1"/>
        <v>18000</v>
      </c>
    </row>
    <row r="43" spans="1:16" x14ac:dyDescent="0.35">
      <c r="A43" s="8" t="s">
        <v>66</v>
      </c>
      <c r="B43" s="8" t="s">
        <v>4</v>
      </c>
      <c r="C43" s="8" t="s">
        <v>67</v>
      </c>
      <c r="D43" s="8" t="s">
        <v>217</v>
      </c>
      <c r="E43" s="8" t="s">
        <v>222</v>
      </c>
      <c r="F43" s="9">
        <v>1410000000</v>
      </c>
      <c r="G43" s="10">
        <v>350</v>
      </c>
      <c r="H43" s="8" t="s">
        <v>224</v>
      </c>
      <c r="I43" s="10">
        <v>960</v>
      </c>
      <c r="J43" s="8" t="s">
        <v>221</v>
      </c>
      <c r="K43" s="8" t="s">
        <v>224</v>
      </c>
      <c r="L43" s="10">
        <v>900</v>
      </c>
      <c r="M43" s="13">
        <v>1</v>
      </c>
      <c r="N43" s="10">
        <v>18500000000000</v>
      </c>
      <c r="O43" s="15">
        <f t="shared" si="0"/>
        <v>60</v>
      </c>
      <c r="P43" s="15">
        <f t="shared" si="1"/>
        <v>13120.567375886525</v>
      </c>
    </row>
    <row r="44" spans="1:16" x14ac:dyDescent="0.35">
      <c r="A44" s="8" t="s">
        <v>68</v>
      </c>
      <c r="B44" s="8" t="s">
        <v>23</v>
      </c>
      <c r="C44" s="8" t="s">
        <v>23</v>
      </c>
      <c r="D44" s="8" t="s">
        <v>216</v>
      </c>
      <c r="E44" s="8" t="s">
        <v>222</v>
      </c>
      <c r="F44" s="9">
        <v>52000000</v>
      </c>
      <c r="G44" s="10">
        <v>350</v>
      </c>
      <c r="H44" s="8" t="s">
        <v>224</v>
      </c>
      <c r="I44" s="10">
        <v>880</v>
      </c>
      <c r="J44" s="8" t="s">
        <v>221</v>
      </c>
      <c r="K44" s="8" t="s">
        <v>224</v>
      </c>
      <c r="L44" s="10">
        <v>700</v>
      </c>
      <c r="M44" s="13">
        <v>6</v>
      </c>
      <c r="N44" s="10">
        <v>450000000000</v>
      </c>
      <c r="O44" s="15">
        <f t="shared" si="0"/>
        <v>180</v>
      </c>
      <c r="P44" s="15">
        <f t="shared" si="1"/>
        <v>8653.8461538461543</v>
      </c>
    </row>
    <row r="45" spans="1:16" x14ac:dyDescent="0.35">
      <c r="A45" s="8" t="s">
        <v>69</v>
      </c>
      <c r="B45" s="8" t="s">
        <v>10</v>
      </c>
      <c r="C45" s="8" t="s">
        <v>56</v>
      </c>
      <c r="D45" s="8" t="s">
        <v>213</v>
      </c>
      <c r="E45" s="8" t="s">
        <v>219</v>
      </c>
      <c r="F45" s="9">
        <v>900000</v>
      </c>
      <c r="G45" s="10">
        <v>60</v>
      </c>
      <c r="H45" s="8" t="s">
        <v>237</v>
      </c>
      <c r="I45" s="10">
        <v>160</v>
      </c>
      <c r="J45" s="8" t="s">
        <v>239</v>
      </c>
      <c r="K45" s="8" t="s">
        <v>239</v>
      </c>
      <c r="L45" s="10">
        <v>220</v>
      </c>
      <c r="M45" s="13">
        <v>3</v>
      </c>
      <c r="N45" s="10">
        <v>3000000000</v>
      </c>
      <c r="O45" s="15">
        <f t="shared" si="0"/>
        <v>-60</v>
      </c>
      <c r="P45" s="15">
        <f t="shared" si="1"/>
        <v>3333.3333333333335</v>
      </c>
    </row>
    <row r="46" spans="1:16" x14ac:dyDescent="0.35">
      <c r="A46" s="8" t="s">
        <v>70</v>
      </c>
      <c r="B46" s="8" t="s">
        <v>10</v>
      </c>
      <c r="C46" s="8" t="s">
        <v>17</v>
      </c>
      <c r="D46" s="8" t="s">
        <v>213</v>
      </c>
      <c r="E46" s="8" t="s">
        <v>219</v>
      </c>
      <c r="F46" s="9">
        <v>102000000</v>
      </c>
      <c r="G46" s="10">
        <v>60</v>
      </c>
      <c r="H46" s="8" t="s">
        <v>237</v>
      </c>
      <c r="I46" s="10">
        <v>140</v>
      </c>
      <c r="J46" s="8" t="s">
        <v>239</v>
      </c>
      <c r="K46" s="8" t="s">
        <v>239</v>
      </c>
      <c r="L46" s="10">
        <v>200</v>
      </c>
      <c r="M46" s="13">
        <v>8</v>
      </c>
      <c r="N46" s="10">
        <v>85000000000</v>
      </c>
      <c r="O46" s="15">
        <f t="shared" si="0"/>
        <v>-60</v>
      </c>
      <c r="P46" s="15">
        <f t="shared" si="1"/>
        <v>833.33333333333337</v>
      </c>
    </row>
    <row r="47" spans="1:16" x14ac:dyDescent="0.35">
      <c r="A47" s="8" t="s">
        <v>71</v>
      </c>
      <c r="B47" s="8" t="s">
        <v>10</v>
      </c>
      <c r="C47" s="8" t="s">
        <v>17</v>
      </c>
      <c r="D47" s="8" t="s">
        <v>213</v>
      </c>
      <c r="E47" s="8" t="s">
        <v>219</v>
      </c>
      <c r="F47" s="9">
        <v>6000000</v>
      </c>
      <c r="G47" s="10">
        <v>120</v>
      </c>
      <c r="H47" s="8" t="s">
        <v>221</v>
      </c>
      <c r="I47" s="10">
        <v>400</v>
      </c>
      <c r="J47" s="8" t="s">
        <v>239</v>
      </c>
      <c r="K47" s="8" t="s">
        <v>221</v>
      </c>
      <c r="L47" s="10">
        <v>450</v>
      </c>
      <c r="M47" s="13">
        <v>4</v>
      </c>
      <c r="N47" s="10">
        <v>22000000000</v>
      </c>
      <c r="O47" s="15">
        <f t="shared" si="0"/>
        <v>-50</v>
      </c>
      <c r="P47" s="15">
        <f t="shared" si="1"/>
        <v>3666.6666666666665</v>
      </c>
    </row>
    <row r="48" spans="1:16" x14ac:dyDescent="0.35">
      <c r="A48" s="8" t="s">
        <v>72</v>
      </c>
      <c r="B48" s="8" t="s">
        <v>13</v>
      </c>
      <c r="C48" s="8" t="s">
        <v>14</v>
      </c>
      <c r="D48" s="8" t="s">
        <v>214</v>
      </c>
      <c r="E48" s="8" t="s">
        <v>220</v>
      </c>
      <c r="F48" s="9">
        <v>17000</v>
      </c>
      <c r="G48" s="10">
        <v>300</v>
      </c>
      <c r="H48" s="8" t="s">
        <v>221</v>
      </c>
      <c r="I48" s="10">
        <v>900</v>
      </c>
      <c r="J48" s="8" t="s">
        <v>239</v>
      </c>
      <c r="K48" s="8" t="s">
        <v>224</v>
      </c>
      <c r="L48" s="10">
        <v>800</v>
      </c>
      <c r="M48" s="13">
        <v>3</v>
      </c>
      <c r="N48" s="10">
        <v>600000000</v>
      </c>
      <c r="O48" s="15">
        <f t="shared" si="0"/>
        <v>100</v>
      </c>
      <c r="P48" s="15">
        <f t="shared" si="1"/>
        <v>35294.117647058825</v>
      </c>
    </row>
    <row r="49" spans="1:16" x14ac:dyDescent="0.35">
      <c r="A49" s="8" t="s">
        <v>73</v>
      </c>
      <c r="B49" s="8" t="s">
        <v>19</v>
      </c>
      <c r="C49" s="8" t="s">
        <v>40</v>
      </c>
      <c r="D49" s="8" t="s">
        <v>216</v>
      </c>
      <c r="E49" s="8" t="s">
        <v>222</v>
      </c>
      <c r="F49" s="9">
        <v>5300000</v>
      </c>
      <c r="G49" s="10">
        <v>700</v>
      </c>
      <c r="H49" s="8" t="s">
        <v>220</v>
      </c>
      <c r="I49" s="10">
        <v>1600</v>
      </c>
      <c r="J49" s="8" t="s">
        <v>224</v>
      </c>
      <c r="K49" s="8" t="s">
        <v>220</v>
      </c>
      <c r="L49" s="10">
        <v>1200</v>
      </c>
      <c r="M49" s="13">
        <v>4</v>
      </c>
      <c r="N49" s="10">
        <v>100000000000</v>
      </c>
      <c r="O49" s="15">
        <f t="shared" si="0"/>
        <v>400</v>
      </c>
      <c r="P49" s="15">
        <f t="shared" si="1"/>
        <v>18867.924528301886</v>
      </c>
    </row>
    <row r="50" spans="1:16" x14ac:dyDescent="0.35">
      <c r="A50" s="8" t="s">
        <v>74</v>
      </c>
      <c r="B50" s="8" t="s">
        <v>10</v>
      </c>
      <c r="C50" s="8" t="s">
        <v>42</v>
      </c>
      <c r="D50" s="8" t="s">
        <v>214</v>
      </c>
      <c r="E50" s="8" t="s">
        <v>220</v>
      </c>
      <c r="F50" s="9">
        <v>30000000</v>
      </c>
      <c r="G50" s="10">
        <v>90</v>
      </c>
      <c r="H50" s="8" t="s">
        <v>237</v>
      </c>
      <c r="I50" s="10">
        <v>280</v>
      </c>
      <c r="J50" s="8" t="s">
        <v>239</v>
      </c>
      <c r="K50" s="8" t="s">
        <v>221</v>
      </c>
      <c r="L50" s="10">
        <v>420</v>
      </c>
      <c r="M50" s="13">
        <v>3</v>
      </c>
      <c r="N50" s="10">
        <v>95000000000</v>
      </c>
      <c r="O50" s="15">
        <f t="shared" si="0"/>
        <v>-140</v>
      </c>
      <c r="P50" s="15">
        <f t="shared" si="1"/>
        <v>3166.6666666666665</v>
      </c>
    </row>
    <row r="51" spans="1:16" x14ac:dyDescent="0.35">
      <c r="A51" s="8" t="s">
        <v>75</v>
      </c>
      <c r="B51" s="8" t="s">
        <v>7</v>
      </c>
      <c r="C51" s="8" t="s">
        <v>8</v>
      </c>
      <c r="D51" s="8" t="s">
        <v>215</v>
      </c>
      <c r="E51" s="8" t="s">
        <v>221</v>
      </c>
      <c r="F51" s="9">
        <v>3800000</v>
      </c>
      <c r="G51" s="10">
        <v>900</v>
      </c>
      <c r="H51" s="8" t="s">
        <v>220</v>
      </c>
      <c r="I51" s="10">
        <v>1800</v>
      </c>
      <c r="J51" s="8" t="s">
        <v>224</v>
      </c>
      <c r="K51" s="8" t="s">
        <v>220</v>
      </c>
      <c r="L51" s="10">
        <v>1400</v>
      </c>
      <c r="M51" s="13">
        <v>4</v>
      </c>
      <c r="N51" s="10">
        <v>95000000000</v>
      </c>
      <c r="O51" s="15">
        <f t="shared" si="0"/>
        <v>400</v>
      </c>
      <c r="P51" s="15">
        <f t="shared" si="1"/>
        <v>25000</v>
      </c>
    </row>
    <row r="52" spans="1:16" x14ac:dyDescent="0.35">
      <c r="A52" s="8" t="s">
        <v>76</v>
      </c>
      <c r="B52" s="8" t="s">
        <v>19</v>
      </c>
      <c r="C52" s="8" t="s">
        <v>20</v>
      </c>
      <c r="D52" s="8" t="s">
        <v>214</v>
      </c>
      <c r="E52" s="8" t="s">
        <v>220</v>
      </c>
      <c r="F52" s="9">
        <v>11000000</v>
      </c>
      <c r="G52" s="10">
        <v>50</v>
      </c>
      <c r="H52" s="8" t="s">
        <v>237</v>
      </c>
      <c r="I52" s="10">
        <v>90</v>
      </c>
      <c r="J52" s="8" t="s">
        <v>239</v>
      </c>
      <c r="K52" s="8" t="s">
        <v>221</v>
      </c>
      <c r="L52" s="10">
        <v>300</v>
      </c>
      <c r="M52" s="13">
        <v>4</v>
      </c>
      <c r="N52" s="10">
        <v>110000000000</v>
      </c>
      <c r="O52" s="15">
        <f t="shared" si="0"/>
        <v>-210</v>
      </c>
      <c r="P52" s="15">
        <f t="shared" si="1"/>
        <v>10000</v>
      </c>
    </row>
    <row r="53" spans="1:16" x14ac:dyDescent="0.35">
      <c r="A53" s="8" t="s">
        <v>77</v>
      </c>
      <c r="B53" s="8" t="s">
        <v>7</v>
      </c>
      <c r="C53" s="8" t="s">
        <v>8</v>
      </c>
      <c r="D53" s="8" t="s">
        <v>215</v>
      </c>
      <c r="E53" s="8" t="s">
        <v>221</v>
      </c>
      <c r="F53" s="9">
        <v>1300000</v>
      </c>
      <c r="G53" s="10">
        <v>1000</v>
      </c>
      <c r="H53" s="8" t="s">
        <v>220</v>
      </c>
      <c r="I53" s="10">
        <v>2600</v>
      </c>
      <c r="J53" s="8" t="s">
        <v>220</v>
      </c>
      <c r="K53" s="8" t="s">
        <v>220</v>
      </c>
      <c r="L53" s="10">
        <v>1800</v>
      </c>
      <c r="M53" s="13">
        <v>3</v>
      </c>
      <c r="N53" s="10">
        <v>50000000000</v>
      </c>
      <c r="O53" s="15">
        <f t="shared" si="0"/>
        <v>800</v>
      </c>
      <c r="P53" s="15">
        <f t="shared" si="1"/>
        <v>38461.538461538461</v>
      </c>
    </row>
    <row r="54" spans="1:16" x14ac:dyDescent="0.35">
      <c r="A54" s="8" t="s">
        <v>78</v>
      </c>
      <c r="B54" s="8" t="s">
        <v>7</v>
      </c>
      <c r="C54" s="8" t="s">
        <v>37</v>
      </c>
      <c r="D54" s="8" t="s">
        <v>215</v>
      </c>
      <c r="E54" s="8" t="s">
        <v>221</v>
      </c>
      <c r="F54" s="9">
        <v>10700000</v>
      </c>
      <c r="G54" s="10">
        <v>900</v>
      </c>
      <c r="H54" s="8" t="s">
        <v>220</v>
      </c>
      <c r="I54" s="10">
        <v>2100</v>
      </c>
      <c r="J54" s="8" t="s">
        <v>224</v>
      </c>
      <c r="K54" s="8" t="s">
        <v>224</v>
      </c>
      <c r="L54" s="10">
        <v>1600</v>
      </c>
      <c r="M54" s="13">
        <v>3</v>
      </c>
      <c r="N54" s="10">
        <v>370000000000</v>
      </c>
      <c r="O54" s="15">
        <f t="shared" si="0"/>
        <v>500</v>
      </c>
      <c r="P54" s="15">
        <f t="shared" si="1"/>
        <v>34579.439252336451</v>
      </c>
    </row>
    <row r="55" spans="1:16" x14ac:dyDescent="0.35">
      <c r="A55" s="8" t="s">
        <v>79</v>
      </c>
      <c r="B55" s="8" t="s">
        <v>7</v>
      </c>
      <c r="C55" s="8" t="s">
        <v>80</v>
      </c>
      <c r="D55" s="8" t="s">
        <v>215</v>
      </c>
      <c r="E55" s="8" t="s">
        <v>221</v>
      </c>
      <c r="F55" s="9">
        <v>6000000</v>
      </c>
      <c r="G55" s="10">
        <v>0</v>
      </c>
      <c r="H55" s="8" t="s">
        <v>219</v>
      </c>
      <c r="I55" s="10">
        <v>4800</v>
      </c>
      <c r="J55" s="8" t="s">
        <v>219</v>
      </c>
      <c r="K55" s="8" t="s">
        <v>219</v>
      </c>
      <c r="L55" s="10">
        <v>3200</v>
      </c>
      <c r="M55" s="13">
        <v>3</v>
      </c>
      <c r="N55" s="10">
        <v>470000000000</v>
      </c>
      <c r="O55" s="15">
        <f t="shared" si="0"/>
        <v>1600</v>
      </c>
      <c r="P55" s="15">
        <f t="shared" si="1"/>
        <v>78333.333333333328</v>
      </c>
    </row>
    <row r="56" spans="1:16" x14ac:dyDescent="0.35">
      <c r="A56" s="8" t="s">
        <v>81</v>
      </c>
      <c r="B56" s="8" t="s">
        <v>10</v>
      </c>
      <c r="C56" s="8" t="s">
        <v>56</v>
      </c>
      <c r="D56" s="8" t="s">
        <v>213</v>
      </c>
      <c r="E56" s="8" t="s">
        <v>219</v>
      </c>
      <c r="F56" s="9">
        <v>1100000</v>
      </c>
      <c r="G56" s="10">
        <v>200</v>
      </c>
      <c r="H56" s="8" t="s">
        <v>221</v>
      </c>
      <c r="I56" s="10">
        <v>480</v>
      </c>
      <c r="J56" s="8" t="s">
        <v>239</v>
      </c>
      <c r="K56" s="8" t="s">
        <v>224</v>
      </c>
      <c r="L56" s="10">
        <v>700</v>
      </c>
      <c r="M56" s="13">
        <v>4</v>
      </c>
      <c r="N56" s="10">
        <v>5000000000</v>
      </c>
      <c r="O56" s="15">
        <f t="shared" si="0"/>
        <v>-220</v>
      </c>
      <c r="P56" s="15">
        <f t="shared" si="1"/>
        <v>4545.454545454545</v>
      </c>
    </row>
    <row r="57" spans="1:16" x14ac:dyDescent="0.35">
      <c r="A57" s="8" t="s">
        <v>82</v>
      </c>
      <c r="B57" s="8" t="s">
        <v>19</v>
      </c>
      <c r="C57" s="8" t="s">
        <v>20</v>
      </c>
      <c r="D57" s="8" t="s">
        <v>214</v>
      </c>
      <c r="E57" s="8" t="s">
        <v>220</v>
      </c>
      <c r="F57" s="9">
        <v>70000</v>
      </c>
      <c r="G57" s="10">
        <v>400</v>
      </c>
      <c r="H57" s="8" t="s">
        <v>224</v>
      </c>
      <c r="I57" s="10">
        <v>1000</v>
      </c>
      <c r="J57" s="8" t="s">
        <v>221</v>
      </c>
      <c r="K57" s="8" t="s">
        <v>224</v>
      </c>
      <c r="L57" s="10">
        <v>900</v>
      </c>
      <c r="M57" s="13">
        <v>3</v>
      </c>
      <c r="N57" s="10">
        <v>1300000000</v>
      </c>
      <c r="O57" s="15">
        <f t="shared" si="0"/>
        <v>100</v>
      </c>
      <c r="P57" s="15">
        <f t="shared" si="1"/>
        <v>18571.428571428572</v>
      </c>
    </row>
    <row r="58" spans="1:16" x14ac:dyDescent="0.35">
      <c r="A58" s="8" t="s">
        <v>83</v>
      </c>
      <c r="B58" s="8" t="s">
        <v>19</v>
      </c>
      <c r="C58" s="8" t="s">
        <v>20</v>
      </c>
      <c r="D58" s="8" t="s">
        <v>216</v>
      </c>
      <c r="E58" s="8" t="s">
        <v>222</v>
      </c>
      <c r="F58" s="9">
        <v>11000000</v>
      </c>
      <c r="G58" s="10">
        <v>400</v>
      </c>
      <c r="H58" s="8" t="s">
        <v>224</v>
      </c>
      <c r="I58" s="10">
        <v>1050</v>
      </c>
      <c r="J58" s="8" t="s">
        <v>221</v>
      </c>
      <c r="K58" s="8" t="s">
        <v>224</v>
      </c>
      <c r="L58" s="10">
        <v>850</v>
      </c>
      <c r="M58" s="13">
        <v>5</v>
      </c>
      <c r="N58" s="10">
        <v>135000000000</v>
      </c>
      <c r="O58" s="15">
        <f t="shared" si="0"/>
        <v>200</v>
      </c>
      <c r="P58" s="15">
        <f t="shared" si="1"/>
        <v>12272.727272727272</v>
      </c>
    </row>
    <row r="59" spans="1:16" x14ac:dyDescent="0.35">
      <c r="A59" s="8" t="s">
        <v>84</v>
      </c>
      <c r="B59" s="8" t="s">
        <v>4</v>
      </c>
      <c r="C59" s="8" t="s">
        <v>51</v>
      </c>
      <c r="D59" s="8" t="s">
        <v>214</v>
      </c>
      <c r="E59" s="8" t="s">
        <v>220</v>
      </c>
      <c r="F59" s="9">
        <v>1300000</v>
      </c>
      <c r="G59" s="10">
        <v>150</v>
      </c>
      <c r="H59" s="8" t="s">
        <v>221</v>
      </c>
      <c r="I59" s="10">
        <v>320</v>
      </c>
      <c r="J59" s="8" t="s">
        <v>239</v>
      </c>
      <c r="K59" s="8" t="s">
        <v>239</v>
      </c>
      <c r="L59" s="10">
        <v>300</v>
      </c>
      <c r="M59" s="13">
        <v>4</v>
      </c>
      <c r="N59" s="10">
        <v>4500000000</v>
      </c>
      <c r="O59" s="15">
        <f t="shared" si="0"/>
        <v>20</v>
      </c>
      <c r="P59" s="15">
        <f t="shared" si="1"/>
        <v>3461.5384615384614</v>
      </c>
    </row>
    <row r="60" spans="1:16" x14ac:dyDescent="0.35">
      <c r="A60" s="8" t="s">
        <v>85</v>
      </c>
      <c r="B60" s="8" t="s">
        <v>23</v>
      </c>
      <c r="C60" s="8" t="s">
        <v>23</v>
      </c>
      <c r="D60" s="8" t="s">
        <v>216</v>
      </c>
      <c r="E60" s="8" t="s">
        <v>222</v>
      </c>
      <c r="F60" s="9">
        <v>18000000</v>
      </c>
      <c r="G60" s="10">
        <v>460</v>
      </c>
      <c r="H60" s="8" t="s">
        <v>224</v>
      </c>
      <c r="I60" s="10">
        <v>850</v>
      </c>
      <c r="J60" s="8" t="s">
        <v>221</v>
      </c>
      <c r="K60" s="8" t="s">
        <v>224</v>
      </c>
      <c r="L60" s="10">
        <v>650</v>
      </c>
      <c r="M60" s="13">
        <v>3</v>
      </c>
      <c r="N60" s="10">
        <v>125000000000</v>
      </c>
      <c r="O60" s="15">
        <f t="shared" si="0"/>
        <v>200</v>
      </c>
      <c r="P60" s="15">
        <f t="shared" si="1"/>
        <v>6944.4444444444443</v>
      </c>
    </row>
    <row r="61" spans="1:16" x14ac:dyDescent="0.35">
      <c r="A61" s="8" t="s">
        <v>86</v>
      </c>
      <c r="B61" s="8" t="s">
        <v>10</v>
      </c>
      <c r="C61" s="8" t="s">
        <v>11</v>
      </c>
      <c r="D61" s="8" t="s">
        <v>214</v>
      </c>
      <c r="E61" s="8" t="s">
        <v>220</v>
      </c>
      <c r="F61" s="9">
        <v>112000000</v>
      </c>
      <c r="G61" s="10">
        <v>120</v>
      </c>
      <c r="H61" s="8" t="s">
        <v>221</v>
      </c>
      <c r="I61" s="10">
        <v>380</v>
      </c>
      <c r="J61" s="8" t="s">
        <v>239</v>
      </c>
      <c r="K61" s="8" t="s">
        <v>221</v>
      </c>
      <c r="L61" s="10">
        <v>380</v>
      </c>
      <c r="M61" s="13">
        <v>12</v>
      </c>
      <c r="N61" s="10">
        <v>560000000000</v>
      </c>
      <c r="O61" s="15">
        <f t="shared" si="0"/>
        <v>0</v>
      </c>
      <c r="P61" s="15">
        <f t="shared" si="1"/>
        <v>5000</v>
      </c>
    </row>
    <row r="62" spans="1:16" x14ac:dyDescent="0.35">
      <c r="A62" s="8" t="s">
        <v>87</v>
      </c>
      <c r="B62" s="8" t="s">
        <v>19</v>
      </c>
      <c r="C62" s="8" t="s">
        <v>40</v>
      </c>
      <c r="D62" s="8" t="s">
        <v>214</v>
      </c>
      <c r="E62" s="8" t="s">
        <v>220</v>
      </c>
      <c r="F62" s="9">
        <v>6300000</v>
      </c>
      <c r="G62" s="10">
        <v>365</v>
      </c>
      <c r="H62" s="8" t="s">
        <v>224</v>
      </c>
      <c r="I62" s="10">
        <v>780</v>
      </c>
      <c r="J62" s="8" t="s">
        <v>221</v>
      </c>
      <c r="K62" s="8" t="s">
        <v>224</v>
      </c>
      <c r="L62" s="10">
        <v>700</v>
      </c>
      <c r="M62" s="13">
        <v>3</v>
      </c>
      <c r="N62" s="10">
        <v>85000000000</v>
      </c>
      <c r="O62" s="15">
        <f t="shared" si="0"/>
        <v>80</v>
      </c>
      <c r="P62" s="15">
        <f t="shared" si="1"/>
        <v>13492.063492063493</v>
      </c>
    </row>
    <row r="63" spans="1:16" x14ac:dyDescent="0.35">
      <c r="A63" s="8" t="s">
        <v>88</v>
      </c>
      <c r="B63" s="8" t="s">
        <v>10</v>
      </c>
      <c r="C63" s="8" t="s">
        <v>17</v>
      </c>
      <c r="D63" s="8" t="s">
        <v>214</v>
      </c>
      <c r="E63" s="8" t="s">
        <v>220</v>
      </c>
      <c r="F63" s="9">
        <v>1800000</v>
      </c>
      <c r="G63" s="10">
        <v>200</v>
      </c>
      <c r="H63" s="8" t="s">
        <v>221</v>
      </c>
      <c r="I63" s="10">
        <v>640</v>
      </c>
      <c r="J63" s="8" t="s">
        <v>221</v>
      </c>
      <c r="K63" s="8" t="s">
        <v>221</v>
      </c>
      <c r="L63" s="10">
        <v>600</v>
      </c>
      <c r="M63" s="13">
        <v>4</v>
      </c>
      <c r="N63" s="10">
        <v>12000000000</v>
      </c>
      <c r="O63" s="15">
        <f t="shared" si="0"/>
        <v>40</v>
      </c>
      <c r="P63" s="15">
        <f t="shared" si="1"/>
        <v>6666.666666666667</v>
      </c>
    </row>
    <row r="64" spans="1:16" x14ac:dyDescent="0.35">
      <c r="A64" s="8" t="s">
        <v>89</v>
      </c>
      <c r="B64" s="8" t="s">
        <v>10</v>
      </c>
      <c r="C64" s="8" t="s">
        <v>56</v>
      </c>
      <c r="D64" s="8" t="s">
        <v>213</v>
      </c>
      <c r="E64" s="8" t="s">
        <v>219</v>
      </c>
      <c r="F64" s="9">
        <v>3700000</v>
      </c>
      <c r="G64" s="10">
        <v>50</v>
      </c>
      <c r="H64" s="8" t="s">
        <v>237</v>
      </c>
      <c r="I64" s="10">
        <v>110</v>
      </c>
      <c r="J64" s="8" t="s">
        <v>239</v>
      </c>
      <c r="K64" s="8" t="s">
        <v>239</v>
      </c>
      <c r="L64" s="10">
        <v>180</v>
      </c>
      <c r="M64" s="13">
        <v>6</v>
      </c>
      <c r="N64" s="10">
        <v>4000000000</v>
      </c>
      <c r="O64" s="15">
        <f t="shared" si="0"/>
        <v>-70</v>
      </c>
      <c r="P64" s="15">
        <f t="shared" si="1"/>
        <v>1081.081081081081</v>
      </c>
    </row>
    <row r="65" spans="1:16" x14ac:dyDescent="0.35">
      <c r="A65" s="8" t="s">
        <v>90</v>
      </c>
      <c r="B65" s="8" t="s">
        <v>7</v>
      </c>
      <c r="C65" s="8" t="s">
        <v>80</v>
      </c>
      <c r="D65" s="8" t="s">
        <v>215</v>
      </c>
      <c r="E65" s="8" t="s">
        <v>221</v>
      </c>
      <c r="F65" s="9">
        <v>1300000</v>
      </c>
      <c r="G65" s="10">
        <v>1000</v>
      </c>
      <c r="H65" s="8" t="s">
        <v>220</v>
      </c>
      <c r="I65" s="10">
        <v>2300</v>
      </c>
      <c r="J65" s="8" t="s">
        <v>224</v>
      </c>
      <c r="K65" s="8" t="s">
        <v>220</v>
      </c>
      <c r="L65" s="10">
        <v>1700</v>
      </c>
      <c r="M65" s="13">
        <v>4</v>
      </c>
      <c r="N65" s="10">
        <v>55000000000</v>
      </c>
      <c r="O65" s="15">
        <f t="shared" si="0"/>
        <v>600</v>
      </c>
      <c r="P65" s="15">
        <f t="shared" si="1"/>
        <v>42307.692307692305</v>
      </c>
    </row>
    <row r="66" spans="1:16" x14ac:dyDescent="0.35">
      <c r="A66" s="8" t="s">
        <v>91</v>
      </c>
      <c r="B66" s="8" t="s">
        <v>10</v>
      </c>
      <c r="C66" s="8" t="s">
        <v>56</v>
      </c>
      <c r="D66" s="8" t="s">
        <v>213</v>
      </c>
      <c r="E66" s="8" t="s">
        <v>219</v>
      </c>
      <c r="F66" s="9">
        <v>126000000</v>
      </c>
      <c r="G66" s="10">
        <v>60</v>
      </c>
      <c r="H66" s="8" t="s">
        <v>237</v>
      </c>
      <c r="I66" s="10">
        <v>180</v>
      </c>
      <c r="J66" s="8" t="s">
        <v>239</v>
      </c>
      <c r="K66" s="8" t="s">
        <v>239</v>
      </c>
      <c r="L66" s="10">
        <v>250</v>
      </c>
      <c r="M66" s="13">
        <v>15</v>
      </c>
      <c r="N66" s="10">
        <v>240000000000</v>
      </c>
      <c r="O66" s="15">
        <f t="shared" si="0"/>
        <v>-70</v>
      </c>
      <c r="P66" s="15">
        <f t="shared" si="1"/>
        <v>1904.7619047619048</v>
      </c>
    </row>
    <row r="67" spans="1:16" x14ac:dyDescent="0.35">
      <c r="A67" s="8" t="s">
        <v>92</v>
      </c>
      <c r="B67" s="8" t="s">
        <v>13</v>
      </c>
      <c r="C67" s="8" t="s">
        <v>93</v>
      </c>
      <c r="D67" s="8" t="s">
        <v>214</v>
      </c>
      <c r="E67" s="8" t="s">
        <v>220</v>
      </c>
      <c r="F67" s="9">
        <v>930000</v>
      </c>
      <c r="G67" s="10">
        <v>120</v>
      </c>
      <c r="H67" s="8" t="s">
        <v>221</v>
      </c>
      <c r="I67" s="10">
        <v>480</v>
      </c>
      <c r="J67" s="8" t="s">
        <v>239</v>
      </c>
      <c r="K67" s="8" t="s">
        <v>221</v>
      </c>
      <c r="L67" s="10">
        <v>650</v>
      </c>
      <c r="M67" s="13">
        <v>4</v>
      </c>
      <c r="N67" s="10">
        <v>6500000000</v>
      </c>
      <c r="O67" s="15">
        <f t="shared" ref="O67:O130" si="2">I67-L67</f>
        <v>-170</v>
      </c>
      <c r="P67" s="15">
        <f t="shared" ref="P67:P130" si="3">N67/F67</f>
        <v>6989.2473118279568</v>
      </c>
    </row>
    <row r="68" spans="1:16" x14ac:dyDescent="0.35">
      <c r="A68" s="8" t="s">
        <v>94</v>
      </c>
      <c r="B68" s="8" t="s">
        <v>7</v>
      </c>
      <c r="C68" s="8" t="s">
        <v>80</v>
      </c>
      <c r="D68" s="8" t="s">
        <v>215</v>
      </c>
      <c r="E68" s="8" t="s">
        <v>221</v>
      </c>
      <c r="F68" s="9">
        <v>5600000</v>
      </c>
      <c r="G68" s="10">
        <v>0</v>
      </c>
      <c r="H68" s="8" t="s">
        <v>219</v>
      </c>
      <c r="I68" s="10">
        <v>4600</v>
      </c>
      <c r="J68" s="8" t="s">
        <v>219</v>
      </c>
      <c r="K68" s="8" t="s">
        <v>219</v>
      </c>
      <c r="L68" s="10">
        <v>3000</v>
      </c>
      <c r="M68" s="13">
        <v>3</v>
      </c>
      <c r="N68" s="10">
        <v>330000000000</v>
      </c>
      <c r="O68" s="15">
        <f t="shared" si="2"/>
        <v>1600</v>
      </c>
      <c r="P68" s="15">
        <f t="shared" si="3"/>
        <v>58928.571428571428</v>
      </c>
    </row>
    <row r="69" spans="1:16" x14ac:dyDescent="0.35">
      <c r="A69" s="8" t="s">
        <v>95</v>
      </c>
      <c r="B69" s="8" t="s">
        <v>7</v>
      </c>
      <c r="C69" s="8" t="s">
        <v>30</v>
      </c>
      <c r="D69" s="8" t="s">
        <v>215</v>
      </c>
      <c r="E69" s="8" t="s">
        <v>221</v>
      </c>
      <c r="F69" s="9">
        <v>68000000</v>
      </c>
      <c r="G69" s="10">
        <v>1800</v>
      </c>
      <c r="H69" s="8" t="s">
        <v>219</v>
      </c>
      <c r="I69" s="10">
        <v>3600</v>
      </c>
      <c r="J69" s="8" t="s">
        <v>219</v>
      </c>
      <c r="K69" s="8" t="s">
        <v>219</v>
      </c>
      <c r="L69" s="10">
        <v>2800</v>
      </c>
      <c r="M69" s="13">
        <v>3</v>
      </c>
      <c r="N69" s="10">
        <v>3100000000000</v>
      </c>
      <c r="O69" s="15">
        <f t="shared" si="2"/>
        <v>800</v>
      </c>
      <c r="P69" s="15">
        <f t="shared" si="3"/>
        <v>45588.23529411765</v>
      </c>
    </row>
    <row r="70" spans="1:16" x14ac:dyDescent="0.35">
      <c r="A70" s="8" t="s">
        <v>96</v>
      </c>
      <c r="B70" s="8" t="s">
        <v>10</v>
      </c>
      <c r="C70" s="8" t="s">
        <v>17</v>
      </c>
      <c r="D70" s="8" t="s">
        <v>214</v>
      </c>
      <c r="E70" s="8" t="s">
        <v>220</v>
      </c>
      <c r="F70" s="9">
        <v>2400000</v>
      </c>
      <c r="G70" s="10">
        <v>250</v>
      </c>
      <c r="H70" s="8" t="s">
        <v>221</v>
      </c>
      <c r="I70" s="10">
        <v>720</v>
      </c>
      <c r="J70" s="8" t="s">
        <v>221</v>
      </c>
      <c r="K70" s="8" t="s">
        <v>224</v>
      </c>
      <c r="L70" s="10">
        <v>900</v>
      </c>
      <c r="M70" s="13">
        <v>4</v>
      </c>
      <c r="N70" s="10">
        <v>23000000000</v>
      </c>
      <c r="O70" s="15">
        <f t="shared" si="2"/>
        <v>-180</v>
      </c>
      <c r="P70" s="15">
        <f t="shared" si="3"/>
        <v>9583.3333333333339</v>
      </c>
    </row>
    <row r="71" spans="1:16" x14ac:dyDescent="0.35">
      <c r="A71" s="8" t="s">
        <v>97</v>
      </c>
      <c r="B71" s="8" t="s">
        <v>10</v>
      </c>
      <c r="C71" s="8" t="s">
        <v>42</v>
      </c>
      <c r="D71" s="8" t="s">
        <v>213</v>
      </c>
      <c r="E71" s="8" t="s">
        <v>219</v>
      </c>
      <c r="F71" s="9">
        <v>2800000</v>
      </c>
      <c r="G71" s="10">
        <v>60</v>
      </c>
      <c r="H71" s="8" t="s">
        <v>237</v>
      </c>
      <c r="I71" s="10">
        <v>180</v>
      </c>
      <c r="J71" s="8" t="s">
        <v>239</v>
      </c>
      <c r="K71" s="8" t="s">
        <v>239</v>
      </c>
      <c r="L71" s="10">
        <v>220</v>
      </c>
      <c r="M71" s="13">
        <v>5</v>
      </c>
      <c r="N71" s="10">
        <v>5000000000</v>
      </c>
      <c r="O71" s="15">
        <f t="shared" si="2"/>
        <v>-40</v>
      </c>
      <c r="P71" s="15">
        <f t="shared" si="3"/>
        <v>1785.7142857142858</v>
      </c>
    </row>
    <row r="72" spans="1:16" x14ac:dyDescent="0.35">
      <c r="A72" s="8" t="s">
        <v>98</v>
      </c>
      <c r="B72" s="8" t="s">
        <v>4</v>
      </c>
      <c r="C72" s="8" t="s">
        <v>25</v>
      </c>
      <c r="D72" s="8" t="s">
        <v>214</v>
      </c>
      <c r="E72" s="8" t="s">
        <v>220</v>
      </c>
      <c r="F72" s="9">
        <v>3700000</v>
      </c>
      <c r="G72" s="10">
        <v>300</v>
      </c>
      <c r="H72" s="8" t="s">
        <v>224</v>
      </c>
      <c r="I72" s="10">
        <v>720</v>
      </c>
      <c r="J72" s="8" t="s">
        <v>221</v>
      </c>
      <c r="K72" s="8" t="s">
        <v>221</v>
      </c>
      <c r="L72" s="10">
        <v>520</v>
      </c>
      <c r="M72" s="13">
        <v>4</v>
      </c>
      <c r="N72" s="10">
        <v>42000000000</v>
      </c>
      <c r="O72" s="15">
        <f t="shared" si="2"/>
        <v>200</v>
      </c>
      <c r="P72" s="15">
        <f t="shared" si="3"/>
        <v>11351.351351351352</v>
      </c>
    </row>
    <row r="73" spans="1:16" x14ac:dyDescent="0.35">
      <c r="A73" s="8" t="s">
        <v>99</v>
      </c>
      <c r="B73" s="8" t="s">
        <v>7</v>
      </c>
      <c r="C73" s="8" t="s">
        <v>30</v>
      </c>
      <c r="D73" s="8" t="s">
        <v>215</v>
      </c>
      <c r="E73" s="8" t="s">
        <v>221</v>
      </c>
      <c r="F73" s="9">
        <v>84000000</v>
      </c>
      <c r="G73" s="10">
        <v>2100</v>
      </c>
      <c r="H73" s="8" t="s">
        <v>219</v>
      </c>
      <c r="I73" s="10">
        <v>4300</v>
      </c>
      <c r="J73" s="8" t="s">
        <v>219</v>
      </c>
      <c r="K73" s="8" t="s">
        <v>219</v>
      </c>
      <c r="L73" s="10">
        <v>2900</v>
      </c>
      <c r="M73" s="13">
        <v>3</v>
      </c>
      <c r="N73" s="10">
        <v>4600000000000</v>
      </c>
      <c r="O73" s="15">
        <f t="shared" si="2"/>
        <v>1400</v>
      </c>
      <c r="P73" s="15">
        <f t="shared" si="3"/>
        <v>54761.904761904763</v>
      </c>
    </row>
    <row r="74" spans="1:16" x14ac:dyDescent="0.35">
      <c r="A74" s="8" t="s">
        <v>100</v>
      </c>
      <c r="B74" s="8" t="s">
        <v>10</v>
      </c>
      <c r="C74" s="8" t="s">
        <v>42</v>
      </c>
      <c r="D74" s="8" t="s">
        <v>214</v>
      </c>
      <c r="E74" s="8" t="s">
        <v>220</v>
      </c>
      <c r="F74" s="9">
        <v>34000000</v>
      </c>
      <c r="G74" s="10">
        <v>80</v>
      </c>
      <c r="H74" s="8" t="s">
        <v>237</v>
      </c>
      <c r="I74" s="10">
        <v>240</v>
      </c>
      <c r="J74" s="8" t="s">
        <v>239</v>
      </c>
      <c r="K74" s="8" t="s">
        <v>221</v>
      </c>
      <c r="L74" s="10">
        <v>400</v>
      </c>
      <c r="M74" s="13">
        <v>20</v>
      </c>
      <c r="N74" s="10">
        <v>90000000000</v>
      </c>
      <c r="O74" s="15">
        <f t="shared" si="2"/>
        <v>-160</v>
      </c>
      <c r="P74" s="15">
        <f t="shared" si="3"/>
        <v>2647.0588235294117</v>
      </c>
    </row>
    <row r="75" spans="1:16" x14ac:dyDescent="0.35">
      <c r="A75" s="8" t="s">
        <v>101</v>
      </c>
      <c r="B75" s="8" t="s">
        <v>7</v>
      </c>
      <c r="C75" s="8" t="s">
        <v>8</v>
      </c>
      <c r="D75" s="8" t="s">
        <v>215</v>
      </c>
      <c r="E75" s="8" t="s">
        <v>221</v>
      </c>
      <c r="F75" s="9">
        <v>10300000</v>
      </c>
      <c r="G75" s="10">
        <v>950</v>
      </c>
      <c r="H75" s="8" t="s">
        <v>220</v>
      </c>
      <c r="I75" s="10">
        <v>1800</v>
      </c>
      <c r="J75" s="8" t="s">
        <v>224</v>
      </c>
      <c r="K75" s="8" t="s">
        <v>220</v>
      </c>
      <c r="L75" s="10">
        <v>1600</v>
      </c>
      <c r="M75" s="13">
        <v>3</v>
      </c>
      <c r="N75" s="10">
        <v>290000000000</v>
      </c>
      <c r="O75" s="15">
        <f t="shared" si="2"/>
        <v>200</v>
      </c>
      <c r="P75" s="15">
        <f t="shared" si="3"/>
        <v>28155.339805825242</v>
      </c>
    </row>
    <row r="76" spans="1:16" x14ac:dyDescent="0.35">
      <c r="A76" s="8" t="s">
        <v>102</v>
      </c>
      <c r="B76" s="8" t="s">
        <v>19</v>
      </c>
      <c r="C76" s="8" t="s">
        <v>20</v>
      </c>
      <c r="D76" s="8" t="s">
        <v>214</v>
      </c>
      <c r="E76" s="8" t="s">
        <v>220</v>
      </c>
      <c r="F76" s="9">
        <v>125000</v>
      </c>
      <c r="G76" s="10">
        <v>500</v>
      </c>
      <c r="H76" s="8" t="s">
        <v>224</v>
      </c>
      <c r="I76" s="10">
        <v>1200</v>
      </c>
      <c r="J76" s="8" t="s">
        <v>221</v>
      </c>
      <c r="K76" s="8" t="s">
        <v>220</v>
      </c>
      <c r="L76" s="10">
        <v>1500</v>
      </c>
      <c r="M76" s="13">
        <v>3</v>
      </c>
      <c r="N76" s="10">
        <v>2000000000</v>
      </c>
      <c r="O76" s="15">
        <f t="shared" si="2"/>
        <v>-300</v>
      </c>
      <c r="P76" s="15">
        <f t="shared" si="3"/>
        <v>16000</v>
      </c>
    </row>
    <row r="77" spans="1:16" x14ac:dyDescent="0.35">
      <c r="A77" s="8" t="s">
        <v>104</v>
      </c>
      <c r="B77" s="8" t="s">
        <v>19</v>
      </c>
      <c r="C77" s="8" t="s">
        <v>40</v>
      </c>
      <c r="D77" s="8" t="s">
        <v>214</v>
      </c>
      <c r="E77" s="8" t="s">
        <v>220</v>
      </c>
      <c r="F77" s="9">
        <v>18000000</v>
      </c>
      <c r="G77" s="10">
        <v>450</v>
      </c>
      <c r="H77" s="8" t="s">
        <v>224</v>
      </c>
      <c r="I77" s="10">
        <v>800</v>
      </c>
      <c r="J77" s="8" t="s">
        <v>221</v>
      </c>
      <c r="K77" s="8" t="s">
        <v>221</v>
      </c>
      <c r="L77" s="10">
        <v>520</v>
      </c>
      <c r="M77" s="13">
        <v>4</v>
      </c>
      <c r="N77" s="10">
        <v>130000000000</v>
      </c>
      <c r="O77" s="15">
        <f t="shared" si="2"/>
        <v>280</v>
      </c>
      <c r="P77" s="15">
        <f t="shared" si="3"/>
        <v>7222.2222222222226</v>
      </c>
    </row>
    <row r="78" spans="1:16" x14ac:dyDescent="0.35">
      <c r="A78" s="8" t="s">
        <v>105</v>
      </c>
      <c r="B78" s="8" t="s">
        <v>10</v>
      </c>
      <c r="C78" s="8" t="s">
        <v>42</v>
      </c>
      <c r="D78" s="8" t="s">
        <v>213</v>
      </c>
      <c r="E78" s="8" t="s">
        <v>219</v>
      </c>
      <c r="F78" s="9">
        <v>14000000</v>
      </c>
      <c r="G78" s="10">
        <v>70</v>
      </c>
      <c r="H78" s="8" t="s">
        <v>237</v>
      </c>
      <c r="I78" s="10">
        <v>180</v>
      </c>
      <c r="J78" s="8" t="s">
        <v>239</v>
      </c>
      <c r="K78" s="8" t="s">
        <v>239</v>
      </c>
      <c r="L78" s="10">
        <v>220</v>
      </c>
      <c r="M78" s="13">
        <v>8</v>
      </c>
      <c r="N78" s="10">
        <v>38000000000</v>
      </c>
      <c r="O78" s="15">
        <f t="shared" si="2"/>
        <v>-40</v>
      </c>
      <c r="P78" s="15">
        <f t="shared" si="3"/>
        <v>2714.2857142857142</v>
      </c>
    </row>
    <row r="79" spans="1:16" x14ac:dyDescent="0.35">
      <c r="A79" s="8" t="s">
        <v>106</v>
      </c>
      <c r="B79" s="8" t="s">
        <v>10</v>
      </c>
      <c r="C79" s="8" t="s">
        <v>42</v>
      </c>
      <c r="D79" s="8" t="s">
        <v>213</v>
      </c>
      <c r="E79" s="8" t="s">
        <v>219</v>
      </c>
      <c r="F79" s="9">
        <v>2200000</v>
      </c>
      <c r="G79" s="10">
        <v>60</v>
      </c>
      <c r="H79" s="8" t="s">
        <v>237</v>
      </c>
      <c r="I79" s="10">
        <v>150</v>
      </c>
      <c r="J79" s="8" t="s">
        <v>239</v>
      </c>
      <c r="K79" s="8" t="s">
        <v>239</v>
      </c>
      <c r="L79" s="10">
        <v>200</v>
      </c>
      <c r="M79" s="13">
        <v>5</v>
      </c>
      <c r="N79" s="10">
        <v>2200000000</v>
      </c>
      <c r="O79" s="15">
        <f t="shared" si="2"/>
        <v>-50</v>
      </c>
      <c r="P79" s="15">
        <f t="shared" si="3"/>
        <v>1000</v>
      </c>
    </row>
    <row r="80" spans="1:16" x14ac:dyDescent="0.35">
      <c r="A80" s="8" t="s">
        <v>107</v>
      </c>
      <c r="B80" s="8" t="s">
        <v>23</v>
      </c>
      <c r="C80" s="8" t="s">
        <v>23</v>
      </c>
      <c r="D80" s="8" t="s">
        <v>216</v>
      </c>
      <c r="E80" s="8" t="s">
        <v>222</v>
      </c>
      <c r="F80" s="9">
        <v>800000</v>
      </c>
      <c r="G80" s="10">
        <v>500</v>
      </c>
      <c r="H80" s="8" t="s">
        <v>224</v>
      </c>
      <c r="I80" s="10">
        <v>1300</v>
      </c>
      <c r="J80" s="8" t="s">
        <v>221</v>
      </c>
      <c r="K80" s="8" t="s">
        <v>224</v>
      </c>
      <c r="L80" s="10">
        <v>650</v>
      </c>
      <c r="M80" s="13">
        <v>4</v>
      </c>
      <c r="N80" s="10">
        <v>25000000000</v>
      </c>
      <c r="O80" s="15">
        <f t="shared" si="2"/>
        <v>650</v>
      </c>
      <c r="P80" s="15">
        <f t="shared" si="3"/>
        <v>31250</v>
      </c>
    </row>
    <row r="81" spans="1:16" x14ac:dyDescent="0.35">
      <c r="A81" s="8" t="s">
        <v>108</v>
      </c>
      <c r="B81" s="8" t="s">
        <v>19</v>
      </c>
      <c r="C81" s="8" t="s">
        <v>20</v>
      </c>
      <c r="D81" s="8" t="s">
        <v>213</v>
      </c>
      <c r="E81" s="8" t="s">
        <v>219</v>
      </c>
      <c r="F81" s="9">
        <v>11500000</v>
      </c>
      <c r="G81" s="10">
        <v>120</v>
      </c>
      <c r="H81" s="8" t="s">
        <v>237</v>
      </c>
      <c r="I81" s="10">
        <v>220</v>
      </c>
      <c r="J81" s="8" t="s">
        <v>239</v>
      </c>
      <c r="K81" s="8" t="s">
        <v>239</v>
      </c>
      <c r="L81" s="10">
        <v>240</v>
      </c>
      <c r="M81" s="13">
        <v>18</v>
      </c>
      <c r="N81" s="10">
        <v>20000000000</v>
      </c>
      <c r="O81" s="15">
        <f t="shared" si="2"/>
        <v>-20</v>
      </c>
      <c r="P81" s="15">
        <f t="shared" si="3"/>
        <v>1739.1304347826087</v>
      </c>
    </row>
    <row r="82" spans="1:16" x14ac:dyDescent="0.35">
      <c r="A82" s="8" t="s">
        <v>109</v>
      </c>
      <c r="B82" s="8" t="s">
        <v>19</v>
      </c>
      <c r="C82" s="8" t="s">
        <v>40</v>
      </c>
      <c r="D82" s="8" t="s">
        <v>214</v>
      </c>
      <c r="E82" s="8" t="s">
        <v>220</v>
      </c>
      <c r="F82" s="9">
        <v>10600000</v>
      </c>
      <c r="G82" s="10">
        <v>350</v>
      </c>
      <c r="H82" s="8" t="s">
        <v>224</v>
      </c>
      <c r="I82" s="10">
        <v>750</v>
      </c>
      <c r="J82" s="8" t="s">
        <v>221</v>
      </c>
      <c r="K82" s="8" t="s">
        <v>221</v>
      </c>
      <c r="L82" s="10">
        <v>500</v>
      </c>
      <c r="M82" s="13">
        <v>5</v>
      </c>
      <c r="N82" s="10">
        <v>70000000000</v>
      </c>
      <c r="O82" s="15">
        <f t="shared" si="2"/>
        <v>250</v>
      </c>
      <c r="P82" s="15">
        <f t="shared" si="3"/>
        <v>6603.7735849056608</v>
      </c>
    </row>
    <row r="83" spans="1:16" x14ac:dyDescent="0.35">
      <c r="A83" s="8" t="s">
        <v>110</v>
      </c>
      <c r="B83" s="8" t="s">
        <v>4</v>
      </c>
      <c r="C83" s="8" t="s">
        <v>67</v>
      </c>
      <c r="D83" s="8" t="s">
        <v>215</v>
      </c>
      <c r="E83" s="8" t="s">
        <v>221</v>
      </c>
      <c r="F83" s="9">
        <v>7500000</v>
      </c>
      <c r="G83" s="10">
        <v>900</v>
      </c>
      <c r="H83" s="8" t="s">
        <v>220</v>
      </c>
      <c r="I83" s="10">
        <v>3200</v>
      </c>
      <c r="J83" s="8" t="s">
        <v>220</v>
      </c>
      <c r="K83" s="8" t="s">
        <v>219</v>
      </c>
      <c r="L83" s="10">
        <v>3000</v>
      </c>
      <c r="M83" s="13">
        <v>2</v>
      </c>
      <c r="N83" s="10">
        <v>430000000000</v>
      </c>
      <c r="O83" s="15">
        <f t="shared" si="2"/>
        <v>200</v>
      </c>
      <c r="P83" s="15">
        <f t="shared" si="3"/>
        <v>57333.333333333336</v>
      </c>
    </row>
    <row r="84" spans="1:16" x14ac:dyDescent="0.35">
      <c r="A84" s="8" t="s">
        <v>111</v>
      </c>
      <c r="B84" s="8" t="s">
        <v>7</v>
      </c>
      <c r="C84" s="8" t="s">
        <v>37</v>
      </c>
      <c r="D84" s="8" t="s">
        <v>215</v>
      </c>
      <c r="E84" s="8" t="s">
        <v>221</v>
      </c>
      <c r="F84" s="9">
        <v>9600000</v>
      </c>
      <c r="G84" s="10">
        <v>800</v>
      </c>
      <c r="H84" s="8" t="s">
        <v>220</v>
      </c>
      <c r="I84" s="10">
        <v>1900</v>
      </c>
      <c r="J84" s="8" t="s">
        <v>224</v>
      </c>
      <c r="K84" s="8" t="s">
        <v>224</v>
      </c>
      <c r="L84" s="10">
        <v>1500</v>
      </c>
      <c r="M84" s="13">
        <v>4</v>
      </c>
      <c r="N84" s="10">
        <v>300000000000</v>
      </c>
      <c r="O84" s="15">
        <f t="shared" si="2"/>
        <v>400</v>
      </c>
      <c r="P84" s="15">
        <f t="shared" si="3"/>
        <v>31250</v>
      </c>
    </row>
    <row r="85" spans="1:16" x14ac:dyDescent="0.35">
      <c r="A85" s="8" t="s">
        <v>112</v>
      </c>
      <c r="B85" s="8" t="s">
        <v>7</v>
      </c>
      <c r="C85" s="8" t="s">
        <v>80</v>
      </c>
      <c r="D85" s="8" t="s">
        <v>215</v>
      </c>
      <c r="E85" s="8" t="s">
        <v>221</v>
      </c>
      <c r="F85" s="9">
        <v>390000</v>
      </c>
      <c r="G85" s="10">
        <v>0</v>
      </c>
      <c r="H85" s="8" t="s">
        <v>219</v>
      </c>
      <c r="I85" s="10">
        <v>5600</v>
      </c>
      <c r="J85" s="8" t="s">
        <v>219</v>
      </c>
      <c r="K85" s="8" t="s">
        <v>219</v>
      </c>
      <c r="L85" s="10">
        <v>3500</v>
      </c>
      <c r="M85" s="13">
        <v>3</v>
      </c>
      <c r="N85" s="10">
        <v>36000000000</v>
      </c>
      <c r="O85" s="15">
        <f t="shared" si="2"/>
        <v>2100</v>
      </c>
      <c r="P85" s="15">
        <f t="shared" si="3"/>
        <v>92307.692307692312</v>
      </c>
    </row>
    <row r="86" spans="1:16" x14ac:dyDescent="0.35">
      <c r="A86" s="8" t="s">
        <v>113</v>
      </c>
      <c r="B86" s="8" t="s">
        <v>4</v>
      </c>
      <c r="C86" s="8" t="s">
        <v>5</v>
      </c>
      <c r="D86" s="8" t="s">
        <v>214</v>
      </c>
      <c r="E86" s="8" t="s">
        <v>220</v>
      </c>
      <c r="F86" s="9">
        <v>1440000000</v>
      </c>
      <c r="G86" s="10">
        <v>100</v>
      </c>
      <c r="H86" s="8" t="s">
        <v>237</v>
      </c>
      <c r="I86" s="10">
        <v>360</v>
      </c>
      <c r="J86" s="8" t="s">
        <v>239</v>
      </c>
      <c r="K86" s="8" t="s">
        <v>239</v>
      </c>
      <c r="L86" s="10">
        <v>300</v>
      </c>
      <c r="M86" s="13">
        <v>5</v>
      </c>
      <c r="N86" s="10">
        <v>4200000000000</v>
      </c>
      <c r="O86" s="15">
        <f t="shared" si="2"/>
        <v>60</v>
      </c>
      <c r="P86" s="15">
        <f t="shared" si="3"/>
        <v>2916.6666666666665</v>
      </c>
    </row>
    <row r="87" spans="1:16" x14ac:dyDescent="0.35">
      <c r="A87" s="8" t="s">
        <v>114</v>
      </c>
      <c r="B87" s="8" t="s">
        <v>4</v>
      </c>
      <c r="C87" s="8" t="s">
        <v>51</v>
      </c>
      <c r="D87" s="8" t="s">
        <v>216</v>
      </c>
      <c r="E87" s="8" t="s">
        <v>222</v>
      </c>
      <c r="F87" s="9">
        <v>278000000</v>
      </c>
      <c r="G87" s="10">
        <v>200</v>
      </c>
      <c r="H87" s="8" t="s">
        <v>221</v>
      </c>
      <c r="I87" s="10">
        <v>640</v>
      </c>
      <c r="J87" s="8" t="s">
        <v>221</v>
      </c>
      <c r="K87" s="8" t="s">
        <v>221</v>
      </c>
      <c r="L87" s="10">
        <v>600</v>
      </c>
      <c r="M87" s="13">
        <v>3</v>
      </c>
      <c r="N87" s="10">
        <v>1450000000000</v>
      </c>
      <c r="O87" s="15">
        <f t="shared" si="2"/>
        <v>40</v>
      </c>
      <c r="P87" s="15">
        <f t="shared" si="3"/>
        <v>5215.8273381294966</v>
      </c>
    </row>
    <row r="88" spans="1:16" x14ac:dyDescent="0.35">
      <c r="A88" s="8" t="s">
        <v>115</v>
      </c>
      <c r="B88" s="8" t="s">
        <v>4</v>
      </c>
      <c r="C88" s="8" t="s">
        <v>25</v>
      </c>
      <c r="D88" s="8" t="s">
        <v>216</v>
      </c>
      <c r="E88" s="8" t="s">
        <v>222</v>
      </c>
      <c r="F88" s="9">
        <v>89000000</v>
      </c>
      <c r="G88" s="10">
        <v>200</v>
      </c>
      <c r="H88" s="8" t="s">
        <v>221</v>
      </c>
      <c r="I88" s="10">
        <v>560</v>
      </c>
      <c r="J88" s="8" t="s">
        <v>221</v>
      </c>
      <c r="K88" s="8" t="s">
        <v>221</v>
      </c>
      <c r="L88" s="10">
        <v>500</v>
      </c>
      <c r="M88" s="13">
        <v>35</v>
      </c>
      <c r="N88" s="10">
        <v>430000000000</v>
      </c>
      <c r="O88" s="15">
        <f t="shared" si="2"/>
        <v>60</v>
      </c>
      <c r="P88" s="15">
        <f t="shared" si="3"/>
        <v>4831.4606741573034</v>
      </c>
    </row>
    <row r="89" spans="1:16" x14ac:dyDescent="0.35">
      <c r="A89" s="8" t="s">
        <v>116</v>
      </c>
      <c r="B89" s="8" t="s">
        <v>4</v>
      </c>
      <c r="C89" s="8" t="s">
        <v>25</v>
      </c>
      <c r="D89" s="8" t="s">
        <v>214</v>
      </c>
      <c r="E89" s="8" t="s">
        <v>220</v>
      </c>
      <c r="F89" s="9">
        <v>45000000</v>
      </c>
      <c r="G89" s="10">
        <v>300</v>
      </c>
      <c r="H89" s="8" t="s">
        <v>224</v>
      </c>
      <c r="I89" s="10">
        <v>720</v>
      </c>
      <c r="J89" s="8" t="s">
        <v>221</v>
      </c>
      <c r="K89" s="8" t="s">
        <v>221</v>
      </c>
      <c r="L89" s="10">
        <v>600</v>
      </c>
      <c r="M89" s="13">
        <v>4</v>
      </c>
      <c r="N89" s="10">
        <v>320000000000</v>
      </c>
      <c r="O89" s="15">
        <f t="shared" si="2"/>
        <v>120</v>
      </c>
      <c r="P89" s="15">
        <f t="shared" si="3"/>
        <v>7111.1111111111113</v>
      </c>
    </row>
    <row r="90" spans="1:16" x14ac:dyDescent="0.35">
      <c r="A90" s="8" t="s">
        <v>117</v>
      </c>
      <c r="B90" s="8" t="s">
        <v>7</v>
      </c>
      <c r="C90" s="8" t="s">
        <v>80</v>
      </c>
      <c r="D90" s="8" t="s">
        <v>215</v>
      </c>
      <c r="E90" s="8" t="s">
        <v>221</v>
      </c>
      <c r="F90" s="9">
        <v>5300000</v>
      </c>
      <c r="G90" s="10">
        <v>2000</v>
      </c>
      <c r="H90" s="8" t="s">
        <v>219</v>
      </c>
      <c r="I90" s="10">
        <v>5200</v>
      </c>
      <c r="J90" s="8" t="s">
        <v>219</v>
      </c>
      <c r="K90" s="8" t="s">
        <v>219</v>
      </c>
      <c r="L90" s="10">
        <v>3000</v>
      </c>
      <c r="M90" s="13">
        <v>3</v>
      </c>
      <c r="N90" s="10">
        <v>720000000000</v>
      </c>
      <c r="O90" s="15">
        <f t="shared" si="2"/>
        <v>2200</v>
      </c>
      <c r="P90" s="15">
        <f t="shared" si="3"/>
        <v>135849.05660377358</v>
      </c>
    </row>
    <row r="91" spans="1:16" x14ac:dyDescent="0.35">
      <c r="A91" s="8" t="s">
        <v>118</v>
      </c>
      <c r="B91" s="8" t="s">
        <v>4</v>
      </c>
      <c r="C91" s="8" t="s">
        <v>25</v>
      </c>
      <c r="D91" s="8" t="s">
        <v>215</v>
      </c>
      <c r="E91" s="8" t="s">
        <v>221</v>
      </c>
      <c r="F91" s="9">
        <v>9800000</v>
      </c>
      <c r="G91" s="10">
        <v>1700</v>
      </c>
      <c r="H91" s="8" t="s">
        <v>219</v>
      </c>
      <c r="I91" s="10">
        <v>4800</v>
      </c>
      <c r="J91" s="8" t="s">
        <v>219</v>
      </c>
      <c r="K91" s="8" t="s">
        <v>219</v>
      </c>
      <c r="L91" s="10">
        <v>3500</v>
      </c>
      <c r="M91" s="13">
        <v>3</v>
      </c>
      <c r="N91" s="10">
        <v>610000000000</v>
      </c>
      <c r="O91" s="15">
        <f t="shared" si="2"/>
        <v>1300</v>
      </c>
      <c r="P91" s="15">
        <f t="shared" si="3"/>
        <v>62244.897959183676</v>
      </c>
    </row>
    <row r="92" spans="1:16" x14ac:dyDescent="0.35">
      <c r="A92" s="8" t="s">
        <v>119</v>
      </c>
      <c r="B92" s="8" t="s">
        <v>7</v>
      </c>
      <c r="C92" s="8" t="s">
        <v>8</v>
      </c>
      <c r="D92" s="8" t="s">
        <v>215</v>
      </c>
      <c r="E92" s="8" t="s">
        <v>221</v>
      </c>
      <c r="F92" s="9">
        <v>59000000</v>
      </c>
      <c r="G92" s="10">
        <v>0</v>
      </c>
      <c r="H92" s="8" t="s">
        <v>219</v>
      </c>
      <c r="I92" s="10">
        <v>3200</v>
      </c>
      <c r="J92" s="8" t="s">
        <v>220</v>
      </c>
      <c r="K92" s="8" t="s">
        <v>220</v>
      </c>
      <c r="L92" s="10">
        <v>2500</v>
      </c>
      <c r="M92" s="13">
        <v>3</v>
      </c>
      <c r="N92" s="10">
        <v>2300000000000</v>
      </c>
      <c r="O92" s="15">
        <f t="shared" si="2"/>
        <v>700</v>
      </c>
      <c r="P92" s="15">
        <f t="shared" si="3"/>
        <v>38983.050847457627</v>
      </c>
    </row>
    <row r="93" spans="1:16" x14ac:dyDescent="0.35">
      <c r="A93" s="8" t="s">
        <v>120</v>
      </c>
      <c r="B93" s="8" t="s">
        <v>19</v>
      </c>
      <c r="C93" s="8" t="s">
        <v>20</v>
      </c>
      <c r="D93" s="8" t="s">
        <v>214</v>
      </c>
      <c r="E93" s="8" t="s">
        <v>220</v>
      </c>
      <c r="F93" s="9">
        <v>2800000</v>
      </c>
      <c r="G93" s="10">
        <v>300</v>
      </c>
      <c r="H93" s="8" t="s">
        <v>224</v>
      </c>
      <c r="I93" s="10">
        <v>880</v>
      </c>
      <c r="J93" s="8" t="s">
        <v>221</v>
      </c>
      <c r="K93" s="8" t="s">
        <v>224</v>
      </c>
      <c r="L93" s="10">
        <v>900</v>
      </c>
      <c r="M93" s="13">
        <v>6</v>
      </c>
      <c r="N93" s="10">
        <v>22000000000</v>
      </c>
      <c r="O93" s="15">
        <f t="shared" si="2"/>
        <v>-20</v>
      </c>
      <c r="P93" s="15">
        <f t="shared" si="3"/>
        <v>7857.1428571428569</v>
      </c>
    </row>
    <row r="94" spans="1:16" x14ac:dyDescent="0.35">
      <c r="A94" s="8" t="s">
        <v>121</v>
      </c>
      <c r="B94" s="8" t="s">
        <v>4</v>
      </c>
      <c r="C94" s="8" t="s">
        <v>67</v>
      </c>
      <c r="D94" s="8" t="s">
        <v>215</v>
      </c>
      <c r="E94" s="8" t="s">
        <v>221</v>
      </c>
      <c r="F94" s="9">
        <v>123000000</v>
      </c>
      <c r="G94" s="10">
        <v>1500</v>
      </c>
      <c r="H94" s="8" t="s">
        <v>219</v>
      </c>
      <c r="I94" s="10">
        <v>4200</v>
      </c>
      <c r="J94" s="8" t="s">
        <v>219</v>
      </c>
      <c r="K94" s="8" t="s">
        <v>219</v>
      </c>
      <c r="L94" s="10">
        <v>3200</v>
      </c>
      <c r="M94" s="13">
        <v>3</v>
      </c>
      <c r="N94" s="10">
        <v>4300000000000</v>
      </c>
      <c r="O94" s="15">
        <f t="shared" si="2"/>
        <v>1000</v>
      </c>
      <c r="P94" s="15">
        <f t="shared" si="3"/>
        <v>34959.349593495936</v>
      </c>
    </row>
    <row r="95" spans="1:16" x14ac:dyDescent="0.35">
      <c r="A95" s="8" t="s">
        <v>122</v>
      </c>
      <c r="B95" s="8" t="s">
        <v>4</v>
      </c>
      <c r="C95" s="8" t="s">
        <v>25</v>
      </c>
      <c r="D95" s="8" t="s">
        <v>214</v>
      </c>
      <c r="E95" s="8" t="s">
        <v>220</v>
      </c>
      <c r="F95" s="9">
        <v>11000000</v>
      </c>
      <c r="G95" s="10">
        <v>320</v>
      </c>
      <c r="H95" s="8" t="s">
        <v>224</v>
      </c>
      <c r="I95" s="10">
        <v>720</v>
      </c>
      <c r="J95" s="8" t="s">
        <v>221</v>
      </c>
      <c r="K95" s="8" t="s">
        <v>221</v>
      </c>
      <c r="L95" s="10">
        <v>520</v>
      </c>
      <c r="M95" s="13">
        <v>3</v>
      </c>
      <c r="N95" s="10">
        <v>60000000000</v>
      </c>
      <c r="O95" s="15">
        <f t="shared" si="2"/>
        <v>200</v>
      </c>
      <c r="P95" s="15">
        <f t="shared" si="3"/>
        <v>5454.545454545455</v>
      </c>
    </row>
    <row r="96" spans="1:16" x14ac:dyDescent="0.35">
      <c r="A96" s="8" t="s">
        <v>123</v>
      </c>
      <c r="B96" s="8" t="s">
        <v>4</v>
      </c>
      <c r="C96" s="8" t="s">
        <v>124</v>
      </c>
      <c r="D96" s="8" t="s">
        <v>216</v>
      </c>
      <c r="E96" s="8" t="s">
        <v>222</v>
      </c>
      <c r="F96" s="9">
        <v>20000000</v>
      </c>
      <c r="G96" s="10">
        <v>250</v>
      </c>
      <c r="H96" s="8" t="s">
        <v>221</v>
      </c>
      <c r="I96" s="10">
        <v>900</v>
      </c>
      <c r="J96" s="8" t="s">
        <v>221</v>
      </c>
      <c r="K96" s="8" t="s">
        <v>221</v>
      </c>
      <c r="L96" s="10">
        <v>650</v>
      </c>
      <c r="M96" s="13">
        <v>6</v>
      </c>
      <c r="N96" s="10">
        <v>300000000000</v>
      </c>
      <c r="O96" s="15">
        <f t="shared" si="2"/>
        <v>250</v>
      </c>
      <c r="P96" s="15">
        <f t="shared" si="3"/>
        <v>15000</v>
      </c>
    </row>
    <row r="97" spans="1:16" x14ac:dyDescent="0.35">
      <c r="A97" s="8" t="s">
        <v>125</v>
      </c>
      <c r="B97" s="8" t="s">
        <v>10</v>
      </c>
      <c r="C97" s="8" t="s">
        <v>56</v>
      </c>
      <c r="D97" s="8" t="s">
        <v>214</v>
      </c>
      <c r="E97" s="8" t="s">
        <v>220</v>
      </c>
      <c r="F97" s="9">
        <v>55000000</v>
      </c>
      <c r="G97" s="10">
        <v>130</v>
      </c>
      <c r="H97" s="8" t="s">
        <v>221</v>
      </c>
      <c r="I97" s="10">
        <v>360</v>
      </c>
      <c r="J97" s="8" t="s">
        <v>239</v>
      </c>
      <c r="K97" s="8" t="s">
        <v>221</v>
      </c>
      <c r="L97" s="10">
        <v>350</v>
      </c>
      <c r="M97" s="13">
        <v>6</v>
      </c>
      <c r="N97" s="10">
        <v>120000000000</v>
      </c>
      <c r="O97" s="15">
        <f t="shared" si="2"/>
        <v>10</v>
      </c>
      <c r="P97" s="15">
        <f t="shared" si="3"/>
        <v>2181.818181818182</v>
      </c>
    </row>
    <row r="98" spans="1:16" x14ac:dyDescent="0.35">
      <c r="A98" s="8" t="s">
        <v>126</v>
      </c>
      <c r="B98" s="8" t="s">
        <v>13</v>
      </c>
      <c r="C98" s="8" t="s">
        <v>103</v>
      </c>
      <c r="D98" s="8" t="s">
        <v>214</v>
      </c>
      <c r="E98" s="8" t="s">
        <v>220</v>
      </c>
      <c r="F98" s="9">
        <v>130000</v>
      </c>
      <c r="G98" s="10">
        <v>120</v>
      </c>
      <c r="H98" s="8" t="s">
        <v>221</v>
      </c>
      <c r="I98" s="10">
        <v>320</v>
      </c>
      <c r="J98" s="8" t="s">
        <v>239</v>
      </c>
      <c r="K98" s="8" t="s">
        <v>239</v>
      </c>
      <c r="L98" s="10">
        <v>300</v>
      </c>
      <c r="M98" s="13">
        <v>4</v>
      </c>
      <c r="N98" s="10">
        <v>350000000</v>
      </c>
      <c r="O98" s="15">
        <f t="shared" si="2"/>
        <v>20</v>
      </c>
      <c r="P98" s="15">
        <f t="shared" si="3"/>
        <v>2692.3076923076924</v>
      </c>
    </row>
    <row r="99" spans="1:16" x14ac:dyDescent="0.35">
      <c r="A99" s="8" t="s">
        <v>127</v>
      </c>
      <c r="B99" s="8" t="s">
        <v>4</v>
      </c>
      <c r="C99" s="8" t="s">
        <v>67</v>
      </c>
      <c r="D99" s="8" t="s">
        <v>213</v>
      </c>
      <c r="E99" s="8" t="s">
        <v>219</v>
      </c>
      <c r="F99" s="9">
        <v>26000000</v>
      </c>
      <c r="G99" s="10">
        <v>0</v>
      </c>
      <c r="H99" s="8" t="s">
        <v>237</v>
      </c>
      <c r="I99" s="10">
        <v>0</v>
      </c>
      <c r="J99" s="8" t="s">
        <v>239</v>
      </c>
      <c r="K99" s="8" t="s">
        <v>239</v>
      </c>
      <c r="L99" s="10">
        <v>180</v>
      </c>
      <c r="M99" s="13">
        <v>8</v>
      </c>
      <c r="N99" s="10">
        <v>35000000000</v>
      </c>
      <c r="O99" s="15">
        <f t="shared" si="2"/>
        <v>-180</v>
      </c>
      <c r="P99" s="15">
        <f t="shared" si="3"/>
        <v>1346.1538461538462</v>
      </c>
    </row>
    <row r="100" spans="1:16" x14ac:dyDescent="0.35">
      <c r="A100" s="8" t="s">
        <v>128</v>
      </c>
      <c r="B100" s="8" t="s">
        <v>4</v>
      </c>
      <c r="C100" s="8" t="s">
        <v>67</v>
      </c>
      <c r="D100" s="8" t="s">
        <v>215</v>
      </c>
      <c r="E100" s="8" t="s">
        <v>221</v>
      </c>
      <c r="F100" s="9">
        <v>52000000</v>
      </c>
      <c r="G100" s="10">
        <v>1700</v>
      </c>
      <c r="H100" s="8" t="s">
        <v>219</v>
      </c>
      <c r="I100" s="10">
        <v>4000</v>
      </c>
      <c r="J100" s="8" t="s">
        <v>219</v>
      </c>
      <c r="K100" s="8" t="s">
        <v>219</v>
      </c>
      <c r="L100" s="10">
        <v>2800</v>
      </c>
      <c r="M100" s="13">
        <v>3</v>
      </c>
      <c r="N100" s="10">
        <v>1850000000000</v>
      </c>
      <c r="O100" s="15">
        <f t="shared" si="2"/>
        <v>1200</v>
      </c>
      <c r="P100" s="15">
        <f t="shared" si="3"/>
        <v>35576.923076923078</v>
      </c>
    </row>
    <row r="101" spans="1:16" x14ac:dyDescent="0.35">
      <c r="A101" s="8" t="s">
        <v>129</v>
      </c>
      <c r="B101" s="8" t="s">
        <v>4</v>
      </c>
      <c r="C101" s="8" t="s">
        <v>25</v>
      </c>
      <c r="D101" s="8" t="s">
        <v>215</v>
      </c>
      <c r="E101" s="8" t="s">
        <v>221</v>
      </c>
      <c r="F101" s="9">
        <v>4300000</v>
      </c>
      <c r="G101" s="10">
        <v>1600</v>
      </c>
      <c r="H101" s="8" t="s">
        <v>219</v>
      </c>
      <c r="I101" s="10">
        <v>4800</v>
      </c>
      <c r="J101" s="8" t="s">
        <v>219</v>
      </c>
      <c r="K101" s="8" t="s">
        <v>220</v>
      </c>
      <c r="L101" s="10">
        <v>2500</v>
      </c>
      <c r="M101" s="13">
        <v>2</v>
      </c>
      <c r="N101" s="10">
        <v>230000000000</v>
      </c>
      <c r="O101" s="15">
        <f t="shared" si="2"/>
        <v>2300</v>
      </c>
      <c r="P101" s="15">
        <f t="shared" si="3"/>
        <v>53488.372093023259</v>
      </c>
    </row>
    <row r="102" spans="1:16" x14ac:dyDescent="0.35">
      <c r="A102" s="8" t="s">
        <v>130</v>
      </c>
      <c r="B102" s="8" t="s">
        <v>4</v>
      </c>
      <c r="C102" s="8" t="s">
        <v>124</v>
      </c>
      <c r="D102" s="8" t="s">
        <v>214</v>
      </c>
      <c r="E102" s="8" t="s">
        <v>220</v>
      </c>
      <c r="F102" s="9">
        <v>7200000</v>
      </c>
      <c r="G102" s="10">
        <v>200</v>
      </c>
      <c r="H102" s="8" t="s">
        <v>221</v>
      </c>
      <c r="I102" s="10">
        <v>480</v>
      </c>
      <c r="J102" s="8" t="s">
        <v>239</v>
      </c>
      <c r="K102" s="8" t="s">
        <v>239</v>
      </c>
      <c r="L102" s="10">
        <v>300</v>
      </c>
      <c r="M102" s="13">
        <v>6</v>
      </c>
      <c r="N102" s="10">
        <v>22000000000</v>
      </c>
      <c r="O102" s="15">
        <f t="shared" si="2"/>
        <v>180</v>
      </c>
      <c r="P102" s="15">
        <f t="shared" si="3"/>
        <v>3055.5555555555557</v>
      </c>
    </row>
    <row r="103" spans="1:16" x14ac:dyDescent="0.35">
      <c r="A103" s="8" t="s">
        <v>131</v>
      </c>
      <c r="B103" s="8" t="s">
        <v>4</v>
      </c>
      <c r="C103" s="8" t="s">
        <v>51</v>
      </c>
      <c r="D103" s="8" t="s">
        <v>214</v>
      </c>
      <c r="E103" s="8" t="s">
        <v>220</v>
      </c>
      <c r="F103" s="9">
        <v>7700000</v>
      </c>
      <c r="G103" s="10">
        <v>180</v>
      </c>
      <c r="H103" s="8" t="s">
        <v>221</v>
      </c>
      <c r="I103" s="10">
        <v>400</v>
      </c>
      <c r="J103" s="8" t="s">
        <v>239</v>
      </c>
      <c r="K103" s="8" t="s">
        <v>239</v>
      </c>
      <c r="L103" s="10">
        <v>320</v>
      </c>
      <c r="M103" s="13">
        <v>4</v>
      </c>
      <c r="N103" s="10">
        <v>27000000000</v>
      </c>
      <c r="O103" s="15">
        <f t="shared" si="2"/>
        <v>80</v>
      </c>
      <c r="P103" s="15">
        <f t="shared" si="3"/>
        <v>3506.4935064935066</v>
      </c>
    </row>
    <row r="104" spans="1:16" x14ac:dyDescent="0.35">
      <c r="A104" s="8" t="s">
        <v>132</v>
      </c>
      <c r="B104" s="8" t="s">
        <v>7</v>
      </c>
      <c r="C104" s="8" t="s">
        <v>80</v>
      </c>
      <c r="D104" s="8" t="s">
        <v>215</v>
      </c>
      <c r="E104" s="8" t="s">
        <v>221</v>
      </c>
      <c r="F104" s="9">
        <v>1800000</v>
      </c>
      <c r="G104" s="10">
        <v>800</v>
      </c>
      <c r="H104" s="8" t="s">
        <v>220</v>
      </c>
      <c r="I104" s="10">
        <v>2000</v>
      </c>
      <c r="J104" s="8" t="s">
        <v>224</v>
      </c>
      <c r="K104" s="8" t="s">
        <v>224</v>
      </c>
      <c r="L104" s="10">
        <v>1400</v>
      </c>
      <c r="M104" s="13">
        <v>4</v>
      </c>
      <c r="N104" s="10">
        <v>60000000000</v>
      </c>
      <c r="O104" s="15">
        <f t="shared" si="2"/>
        <v>600</v>
      </c>
      <c r="P104" s="15">
        <f t="shared" si="3"/>
        <v>33333.333333333336</v>
      </c>
    </row>
    <row r="105" spans="1:16" x14ac:dyDescent="0.35">
      <c r="A105" s="8" t="s">
        <v>133</v>
      </c>
      <c r="B105" s="8" t="s">
        <v>4</v>
      </c>
      <c r="C105" s="8" t="s">
        <v>25</v>
      </c>
      <c r="D105" s="8" t="s">
        <v>214</v>
      </c>
      <c r="E105" s="8" t="s">
        <v>220</v>
      </c>
      <c r="F105" s="9">
        <v>5600000</v>
      </c>
      <c r="G105" s="10">
        <v>50</v>
      </c>
      <c r="H105" s="8" t="s">
        <v>237</v>
      </c>
      <c r="I105" s="10">
        <v>120</v>
      </c>
      <c r="J105" s="8" t="s">
        <v>239</v>
      </c>
      <c r="K105" s="8" t="s">
        <v>220</v>
      </c>
      <c r="L105" s="10">
        <v>800</v>
      </c>
      <c r="M105" s="13">
        <v>120</v>
      </c>
      <c r="N105" s="10">
        <v>25000000000</v>
      </c>
      <c r="O105" s="15">
        <f t="shared" si="2"/>
        <v>-680</v>
      </c>
      <c r="P105" s="15">
        <f t="shared" si="3"/>
        <v>4464.2857142857147</v>
      </c>
    </row>
    <row r="106" spans="1:16" x14ac:dyDescent="0.35">
      <c r="A106" s="8" t="s">
        <v>134</v>
      </c>
      <c r="B106" s="8" t="s">
        <v>10</v>
      </c>
      <c r="C106" s="8" t="s">
        <v>48</v>
      </c>
      <c r="D106" s="8" t="s">
        <v>213</v>
      </c>
      <c r="E106" s="8" t="s">
        <v>219</v>
      </c>
      <c r="F106" s="9">
        <v>2300000</v>
      </c>
      <c r="G106" s="10">
        <v>150</v>
      </c>
      <c r="H106" s="8" t="s">
        <v>221</v>
      </c>
      <c r="I106" s="10">
        <v>360</v>
      </c>
      <c r="J106" s="8" t="s">
        <v>239</v>
      </c>
      <c r="K106" s="8" t="s">
        <v>239</v>
      </c>
      <c r="L106" s="10">
        <v>300</v>
      </c>
      <c r="M106" s="13">
        <v>5</v>
      </c>
      <c r="N106" s="10">
        <v>5000000000</v>
      </c>
      <c r="O106" s="15">
        <f t="shared" si="2"/>
        <v>60</v>
      </c>
      <c r="P106" s="15">
        <f t="shared" si="3"/>
        <v>2173.913043478261</v>
      </c>
    </row>
    <row r="107" spans="1:16" x14ac:dyDescent="0.35">
      <c r="A107" s="8" t="s">
        <v>135</v>
      </c>
      <c r="B107" s="8" t="s">
        <v>10</v>
      </c>
      <c r="C107" s="8" t="s">
        <v>42</v>
      </c>
      <c r="D107" s="8" t="s">
        <v>213</v>
      </c>
      <c r="E107" s="8" t="s">
        <v>219</v>
      </c>
      <c r="F107" s="9">
        <v>5400000</v>
      </c>
      <c r="G107" s="10">
        <v>90</v>
      </c>
      <c r="H107" s="8" t="s">
        <v>237</v>
      </c>
      <c r="I107" s="10">
        <v>210</v>
      </c>
      <c r="J107" s="8" t="s">
        <v>239</v>
      </c>
      <c r="K107" s="8" t="s">
        <v>239</v>
      </c>
      <c r="L107" s="10">
        <v>250</v>
      </c>
      <c r="M107" s="13">
        <v>6</v>
      </c>
      <c r="N107" s="10">
        <v>6000000000</v>
      </c>
      <c r="O107" s="15">
        <f t="shared" si="2"/>
        <v>-40</v>
      </c>
      <c r="P107" s="15">
        <f t="shared" si="3"/>
        <v>1111.1111111111111</v>
      </c>
    </row>
    <row r="108" spans="1:16" x14ac:dyDescent="0.35">
      <c r="A108" s="8" t="s">
        <v>136</v>
      </c>
      <c r="B108" s="8" t="s">
        <v>10</v>
      </c>
      <c r="C108" s="8" t="s">
        <v>11</v>
      </c>
      <c r="D108" s="8" t="s">
        <v>214</v>
      </c>
      <c r="E108" s="8" t="s">
        <v>220</v>
      </c>
      <c r="F108" s="9">
        <v>7200000</v>
      </c>
      <c r="G108" s="10">
        <v>300</v>
      </c>
      <c r="H108" s="8" t="s">
        <v>224</v>
      </c>
      <c r="I108" s="10">
        <v>720</v>
      </c>
      <c r="J108" s="8" t="s">
        <v>221</v>
      </c>
      <c r="K108" s="8" t="s">
        <v>221</v>
      </c>
      <c r="L108" s="10">
        <v>450</v>
      </c>
      <c r="M108" s="13">
        <v>5</v>
      </c>
      <c r="N108" s="10">
        <v>85000000000</v>
      </c>
      <c r="O108" s="15">
        <f t="shared" si="2"/>
        <v>270</v>
      </c>
      <c r="P108" s="15">
        <f t="shared" si="3"/>
        <v>11805.555555555555</v>
      </c>
    </row>
    <row r="109" spans="1:16" x14ac:dyDescent="0.35">
      <c r="A109" s="8" t="s">
        <v>137</v>
      </c>
      <c r="B109" s="8" t="s">
        <v>7</v>
      </c>
      <c r="C109" s="8" t="s">
        <v>30</v>
      </c>
      <c r="D109" s="8" t="s">
        <v>215</v>
      </c>
      <c r="E109" s="8" t="s">
        <v>221</v>
      </c>
      <c r="F109" s="9">
        <v>40000</v>
      </c>
      <c r="G109" s="10">
        <v>0</v>
      </c>
      <c r="H109" s="8" t="s">
        <v>219</v>
      </c>
      <c r="I109" s="10">
        <v>6500</v>
      </c>
      <c r="J109" s="8" t="s">
        <v>219</v>
      </c>
      <c r="K109" s="8" t="s">
        <v>219</v>
      </c>
      <c r="L109" s="10">
        <v>4200</v>
      </c>
      <c r="M109" s="13">
        <v>3</v>
      </c>
      <c r="N109" s="10">
        <v>6000000000</v>
      </c>
      <c r="O109" s="15">
        <f t="shared" si="2"/>
        <v>2300</v>
      </c>
      <c r="P109" s="15">
        <f t="shared" si="3"/>
        <v>150000</v>
      </c>
    </row>
    <row r="110" spans="1:16" x14ac:dyDescent="0.35">
      <c r="A110" s="8" t="s">
        <v>138</v>
      </c>
      <c r="B110" s="8" t="s">
        <v>7</v>
      </c>
      <c r="C110" s="8" t="s">
        <v>80</v>
      </c>
      <c r="D110" s="8" t="s">
        <v>215</v>
      </c>
      <c r="E110" s="8" t="s">
        <v>221</v>
      </c>
      <c r="F110" s="9">
        <v>2800000</v>
      </c>
      <c r="G110" s="10">
        <v>900</v>
      </c>
      <c r="H110" s="8" t="s">
        <v>220</v>
      </c>
      <c r="I110" s="10">
        <v>2100</v>
      </c>
      <c r="J110" s="8" t="s">
        <v>224</v>
      </c>
      <c r="K110" s="8" t="s">
        <v>224</v>
      </c>
      <c r="L110" s="10">
        <v>1500</v>
      </c>
      <c r="M110" s="13">
        <v>4</v>
      </c>
      <c r="N110" s="10">
        <v>90000000000</v>
      </c>
      <c r="O110" s="15">
        <f t="shared" si="2"/>
        <v>600</v>
      </c>
      <c r="P110" s="15">
        <f t="shared" si="3"/>
        <v>32142.857142857141</v>
      </c>
    </row>
    <row r="111" spans="1:16" x14ac:dyDescent="0.35">
      <c r="A111" s="8" t="s">
        <v>139</v>
      </c>
      <c r="B111" s="8" t="s">
        <v>7</v>
      </c>
      <c r="C111" s="8" t="s">
        <v>30</v>
      </c>
      <c r="D111" s="8" t="s">
        <v>215</v>
      </c>
      <c r="E111" s="8" t="s">
        <v>221</v>
      </c>
      <c r="F111" s="9">
        <v>660000</v>
      </c>
      <c r="G111" s="10">
        <v>2200</v>
      </c>
      <c r="H111" s="8" t="s">
        <v>219</v>
      </c>
      <c r="I111" s="10">
        <v>6000</v>
      </c>
      <c r="J111" s="8" t="s">
        <v>219</v>
      </c>
      <c r="K111" s="8" t="s">
        <v>219</v>
      </c>
      <c r="L111" s="10">
        <v>3500</v>
      </c>
      <c r="M111" s="13">
        <v>3</v>
      </c>
      <c r="N111" s="10">
        <v>125000000000</v>
      </c>
      <c r="O111" s="15">
        <f t="shared" si="2"/>
        <v>2500</v>
      </c>
      <c r="P111" s="15">
        <f t="shared" si="3"/>
        <v>189393.93939393939</v>
      </c>
    </row>
    <row r="112" spans="1:16" x14ac:dyDescent="0.35">
      <c r="A112" s="8" t="s">
        <v>140</v>
      </c>
      <c r="B112" s="8" t="s">
        <v>10</v>
      </c>
      <c r="C112" s="8" t="s">
        <v>56</v>
      </c>
      <c r="D112" s="8" t="s">
        <v>213</v>
      </c>
      <c r="E112" s="8" t="s">
        <v>219</v>
      </c>
      <c r="F112" s="9">
        <v>30000000</v>
      </c>
      <c r="G112" s="10">
        <v>60</v>
      </c>
      <c r="H112" s="8" t="s">
        <v>237</v>
      </c>
      <c r="I112" s="10">
        <v>180</v>
      </c>
      <c r="J112" s="8" t="s">
        <v>239</v>
      </c>
      <c r="K112" s="8" t="s">
        <v>239</v>
      </c>
      <c r="L112" s="10">
        <v>220</v>
      </c>
      <c r="M112" s="13">
        <v>7</v>
      </c>
      <c r="N112" s="10">
        <v>22000000000</v>
      </c>
      <c r="O112" s="15">
        <f t="shared" si="2"/>
        <v>-40</v>
      </c>
      <c r="P112" s="15">
        <f t="shared" si="3"/>
        <v>733.33333333333337</v>
      </c>
    </row>
    <row r="113" spans="1:16" x14ac:dyDescent="0.35">
      <c r="A113" s="8" t="s">
        <v>141</v>
      </c>
      <c r="B113" s="8" t="s">
        <v>10</v>
      </c>
      <c r="C113" s="8" t="s">
        <v>48</v>
      </c>
      <c r="D113" s="8" t="s">
        <v>213</v>
      </c>
      <c r="E113" s="8" t="s">
        <v>219</v>
      </c>
      <c r="F113" s="9">
        <v>21000000</v>
      </c>
      <c r="G113" s="10">
        <v>50</v>
      </c>
      <c r="H113" s="8" t="s">
        <v>237</v>
      </c>
      <c r="I113" s="10">
        <v>140</v>
      </c>
      <c r="J113" s="8" t="s">
        <v>239</v>
      </c>
      <c r="K113" s="8" t="s">
        <v>239</v>
      </c>
      <c r="L113" s="10">
        <v>200</v>
      </c>
      <c r="M113" s="13">
        <v>8</v>
      </c>
      <c r="N113" s="10">
        <v>18000000000</v>
      </c>
      <c r="O113" s="15">
        <f t="shared" si="2"/>
        <v>-60</v>
      </c>
      <c r="P113" s="15">
        <f t="shared" si="3"/>
        <v>857.14285714285711</v>
      </c>
    </row>
    <row r="114" spans="1:16" x14ac:dyDescent="0.35">
      <c r="A114" s="8" t="s">
        <v>142</v>
      </c>
      <c r="B114" s="8" t="s">
        <v>4</v>
      </c>
      <c r="C114" s="8" t="s">
        <v>51</v>
      </c>
      <c r="D114" s="8" t="s">
        <v>217</v>
      </c>
      <c r="E114" s="8" t="s">
        <v>222</v>
      </c>
      <c r="F114" s="9">
        <v>34000000</v>
      </c>
      <c r="G114" s="10">
        <v>400</v>
      </c>
      <c r="H114" s="8" t="s">
        <v>224</v>
      </c>
      <c r="I114" s="10">
        <v>1200</v>
      </c>
      <c r="J114" s="8" t="s">
        <v>224</v>
      </c>
      <c r="K114" s="8" t="s">
        <v>221</v>
      </c>
      <c r="L114" s="10">
        <v>900</v>
      </c>
      <c r="M114" s="13">
        <v>3</v>
      </c>
      <c r="N114" s="10">
        <v>440000000000</v>
      </c>
      <c r="O114" s="15">
        <f t="shared" si="2"/>
        <v>300</v>
      </c>
      <c r="P114" s="15">
        <f t="shared" si="3"/>
        <v>12941.176470588236</v>
      </c>
    </row>
    <row r="115" spans="1:16" x14ac:dyDescent="0.35">
      <c r="A115" s="8" t="s">
        <v>143</v>
      </c>
      <c r="B115" s="8" t="s">
        <v>4</v>
      </c>
      <c r="C115" s="8" t="s">
        <v>5</v>
      </c>
      <c r="D115" s="8" t="s">
        <v>216</v>
      </c>
      <c r="E115" s="8" t="s">
        <v>222</v>
      </c>
      <c r="F115" s="9">
        <v>520000</v>
      </c>
      <c r="G115" s="10">
        <v>500</v>
      </c>
      <c r="H115" s="8" t="s">
        <v>224</v>
      </c>
      <c r="I115" s="10">
        <v>1350</v>
      </c>
      <c r="J115" s="8" t="s">
        <v>221</v>
      </c>
      <c r="K115" s="8" t="s">
        <v>220</v>
      </c>
      <c r="L115" s="10">
        <v>1600</v>
      </c>
      <c r="M115" s="13">
        <v>4</v>
      </c>
      <c r="N115" s="10">
        <v>8000000000</v>
      </c>
      <c r="O115" s="15">
        <f t="shared" si="2"/>
        <v>-250</v>
      </c>
      <c r="P115" s="15">
        <f t="shared" si="3"/>
        <v>15384.615384615385</v>
      </c>
    </row>
    <row r="116" spans="1:16" x14ac:dyDescent="0.35">
      <c r="A116" s="8" t="s">
        <v>144</v>
      </c>
      <c r="B116" s="8" t="s">
        <v>10</v>
      </c>
      <c r="C116" s="8" t="s">
        <v>42</v>
      </c>
      <c r="D116" s="8" t="s">
        <v>213</v>
      </c>
      <c r="E116" s="8" t="s">
        <v>219</v>
      </c>
      <c r="F116" s="9">
        <v>24000000</v>
      </c>
      <c r="G116" s="10">
        <v>70</v>
      </c>
      <c r="H116" s="8" t="s">
        <v>237</v>
      </c>
      <c r="I116" s="10">
        <v>170</v>
      </c>
      <c r="J116" s="8" t="s">
        <v>239</v>
      </c>
      <c r="K116" s="8" t="s">
        <v>239</v>
      </c>
      <c r="L116" s="10">
        <v>220</v>
      </c>
      <c r="M116" s="13">
        <v>4</v>
      </c>
      <c r="N116" s="10">
        <v>32000000000</v>
      </c>
      <c r="O116" s="15">
        <f t="shared" si="2"/>
        <v>-50</v>
      </c>
      <c r="P116" s="15">
        <f t="shared" si="3"/>
        <v>1333.3333333333333</v>
      </c>
    </row>
    <row r="117" spans="1:16" x14ac:dyDescent="0.35">
      <c r="A117" s="8" t="s">
        <v>145</v>
      </c>
      <c r="B117" s="8" t="s">
        <v>7</v>
      </c>
      <c r="C117" s="8" t="s">
        <v>8</v>
      </c>
      <c r="D117" s="8" t="s">
        <v>215</v>
      </c>
      <c r="E117" s="8" t="s">
        <v>221</v>
      </c>
      <c r="F117" s="9">
        <v>540000</v>
      </c>
      <c r="G117" s="10">
        <v>1000</v>
      </c>
      <c r="H117" s="8" t="s">
        <v>220</v>
      </c>
      <c r="I117" s="10">
        <v>2800</v>
      </c>
      <c r="J117" s="8" t="s">
        <v>220</v>
      </c>
      <c r="K117" s="8" t="s">
        <v>220</v>
      </c>
      <c r="L117" s="10">
        <v>2000</v>
      </c>
      <c r="M117" s="13">
        <v>3</v>
      </c>
      <c r="N117" s="10">
        <v>65000000000</v>
      </c>
      <c r="O117" s="15">
        <f t="shared" si="2"/>
        <v>800</v>
      </c>
      <c r="P117" s="15">
        <f t="shared" si="3"/>
        <v>120370.37037037036</v>
      </c>
    </row>
    <row r="118" spans="1:16" x14ac:dyDescent="0.35">
      <c r="A118" s="8" t="s">
        <v>146</v>
      </c>
      <c r="B118" s="8" t="s">
        <v>10</v>
      </c>
      <c r="C118" s="8" t="s">
        <v>56</v>
      </c>
      <c r="D118" s="8" t="s">
        <v>216</v>
      </c>
      <c r="E118" s="8" t="s">
        <v>222</v>
      </c>
      <c r="F118" s="9">
        <v>1300000</v>
      </c>
      <c r="G118" s="10">
        <v>450</v>
      </c>
      <c r="H118" s="8" t="s">
        <v>224</v>
      </c>
      <c r="I118" s="10">
        <v>1200</v>
      </c>
      <c r="J118" s="8" t="s">
        <v>221</v>
      </c>
      <c r="K118" s="8" t="s">
        <v>224</v>
      </c>
      <c r="L118" s="10">
        <v>1000</v>
      </c>
      <c r="M118" s="13">
        <v>4</v>
      </c>
      <c r="N118" s="10">
        <v>20000000000</v>
      </c>
      <c r="O118" s="15">
        <f t="shared" si="2"/>
        <v>200</v>
      </c>
      <c r="P118" s="15">
        <f t="shared" si="3"/>
        <v>15384.615384615385</v>
      </c>
    </row>
    <row r="119" spans="1:16" x14ac:dyDescent="0.35">
      <c r="A119" s="8" t="s">
        <v>147</v>
      </c>
      <c r="B119" s="8" t="s">
        <v>19</v>
      </c>
      <c r="C119" s="8" t="s">
        <v>40</v>
      </c>
      <c r="D119" s="8" t="s">
        <v>216</v>
      </c>
      <c r="E119" s="8" t="s">
        <v>222</v>
      </c>
      <c r="F119" s="9">
        <v>129000000</v>
      </c>
      <c r="G119" s="10">
        <v>400</v>
      </c>
      <c r="H119" s="8" t="s">
        <v>224</v>
      </c>
      <c r="I119" s="10">
        <v>1050</v>
      </c>
      <c r="J119" s="8" t="s">
        <v>221</v>
      </c>
      <c r="K119" s="8" t="s">
        <v>224</v>
      </c>
      <c r="L119" s="10">
        <v>900</v>
      </c>
      <c r="M119" s="13">
        <v>5</v>
      </c>
      <c r="N119" s="10">
        <v>2000000000000</v>
      </c>
      <c r="O119" s="15">
        <f t="shared" si="2"/>
        <v>150</v>
      </c>
      <c r="P119" s="15">
        <f t="shared" si="3"/>
        <v>15503.875968992248</v>
      </c>
    </row>
    <row r="120" spans="1:16" x14ac:dyDescent="0.35">
      <c r="A120" s="8" t="s">
        <v>148</v>
      </c>
      <c r="B120" s="8" t="s">
        <v>7</v>
      </c>
      <c r="C120" s="8" t="s">
        <v>37</v>
      </c>
      <c r="D120" s="8" t="s">
        <v>214</v>
      </c>
      <c r="E120" s="8" t="s">
        <v>220</v>
      </c>
      <c r="F120" s="9">
        <v>2500000</v>
      </c>
      <c r="G120" s="10">
        <v>250</v>
      </c>
      <c r="H120" s="8" t="s">
        <v>221</v>
      </c>
      <c r="I120" s="10">
        <v>560</v>
      </c>
      <c r="J120" s="8" t="s">
        <v>239</v>
      </c>
      <c r="K120" s="8" t="s">
        <v>239</v>
      </c>
      <c r="L120" s="10">
        <v>400</v>
      </c>
      <c r="M120" s="13">
        <v>6</v>
      </c>
      <c r="N120" s="10">
        <v>38000000000</v>
      </c>
      <c r="O120" s="15">
        <f t="shared" si="2"/>
        <v>160</v>
      </c>
      <c r="P120" s="15">
        <f t="shared" si="3"/>
        <v>15200</v>
      </c>
    </row>
    <row r="121" spans="1:16" x14ac:dyDescent="0.35">
      <c r="A121" s="8" t="s">
        <v>149</v>
      </c>
      <c r="B121" s="8" t="s">
        <v>7</v>
      </c>
      <c r="C121" s="8" t="s">
        <v>30</v>
      </c>
      <c r="D121" s="8" t="s">
        <v>215</v>
      </c>
      <c r="E121" s="8" t="s">
        <v>221</v>
      </c>
      <c r="F121" s="9">
        <v>39000</v>
      </c>
      <c r="G121" s="10">
        <v>0</v>
      </c>
      <c r="H121" s="8" t="s">
        <v>219</v>
      </c>
      <c r="I121" s="10">
        <v>7500</v>
      </c>
      <c r="J121" s="8" t="s">
        <v>219</v>
      </c>
      <c r="K121" s="8" t="s">
        <v>219</v>
      </c>
      <c r="L121" s="10">
        <v>5000</v>
      </c>
      <c r="M121" s="13">
        <v>3</v>
      </c>
      <c r="N121" s="10">
        <v>8000000000</v>
      </c>
      <c r="O121" s="15">
        <f t="shared" si="2"/>
        <v>2500</v>
      </c>
      <c r="P121" s="15">
        <f t="shared" si="3"/>
        <v>205128.20512820513</v>
      </c>
    </row>
    <row r="122" spans="1:16" x14ac:dyDescent="0.35">
      <c r="A122" s="8" t="s">
        <v>150</v>
      </c>
      <c r="B122" s="8" t="s">
        <v>4</v>
      </c>
      <c r="C122" s="8" t="s">
        <v>67</v>
      </c>
      <c r="D122" s="8" t="s">
        <v>214</v>
      </c>
      <c r="E122" s="8" t="s">
        <v>220</v>
      </c>
      <c r="F122" s="9">
        <v>3500000</v>
      </c>
      <c r="G122" s="10">
        <v>250</v>
      </c>
      <c r="H122" s="8" t="s">
        <v>221</v>
      </c>
      <c r="I122" s="10">
        <v>640</v>
      </c>
      <c r="J122" s="8" t="s">
        <v>239</v>
      </c>
      <c r="K122" s="8" t="s">
        <v>221</v>
      </c>
      <c r="L122" s="10">
        <v>650</v>
      </c>
      <c r="M122" s="13">
        <v>5</v>
      </c>
      <c r="N122" s="10">
        <v>55000000000</v>
      </c>
      <c r="O122" s="15">
        <f t="shared" si="2"/>
        <v>-10</v>
      </c>
      <c r="P122" s="15">
        <f t="shared" si="3"/>
        <v>15714.285714285714</v>
      </c>
    </row>
    <row r="123" spans="1:16" x14ac:dyDescent="0.35">
      <c r="A123" s="8" t="s">
        <v>151</v>
      </c>
      <c r="B123" s="8" t="s">
        <v>10</v>
      </c>
      <c r="C123" s="8" t="s">
        <v>11</v>
      </c>
      <c r="D123" s="8" t="s">
        <v>214</v>
      </c>
      <c r="E123" s="8" t="s">
        <v>220</v>
      </c>
      <c r="F123" s="9">
        <v>37000000</v>
      </c>
      <c r="G123" s="10">
        <v>320</v>
      </c>
      <c r="H123" s="8" t="s">
        <v>224</v>
      </c>
      <c r="I123" s="10">
        <v>720</v>
      </c>
      <c r="J123" s="8" t="s">
        <v>221</v>
      </c>
      <c r="K123" s="8" t="s">
        <v>221</v>
      </c>
      <c r="L123" s="10">
        <v>550</v>
      </c>
      <c r="M123" s="13">
        <v>4</v>
      </c>
      <c r="N123" s="10">
        <v>155000000000</v>
      </c>
      <c r="O123" s="15">
        <f t="shared" si="2"/>
        <v>170</v>
      </c>
      <c r="P123" s="15">
        <f t="shared" si="3"/>
        <v>4189.1891891891892</v>
      </c>
    </row>
    <row r="124" spans="1:16" x14ac:dyDescent="0.35">
      <c r="A124" s="8" t="s">
        <v>152</v>
      </c>
      <c r="B124" s="8" t="s">
        <v>10</v>
      </c>
      <c r="C124" s="8" t="s">
        <v>48</v>
      </c>
      <c r="D124" s="8" t="s">
        <v>213</v>
      </c>
      <c r="E124" s="8" t="s">
        <v>219</v>
      </c>
      <c r="F124" s="9">
        <v>33000000</v>
      </c>
      <c r="G124" s="10">
        <v>60</v>
      </c>
      <c r="H124" s="8" t="s">
        <v>237</v>
      </c>
      <c r="I124" s="10">
        <v>180</v>
      </c>
      <c r="J124" s="8" t="s">
        <v>239</v>
      </c>
      <c r="K124" s="8" t="s">
        <v>239</v>
      </c>
      <c r="L124" s="10">
        <v>250</v>
      </c>
      <c r="M124" s="13">
        <v>8</v>
      </c>
      <c r="N124" s="10">
        <v>22000000000</v>
      </c>
      <c r="O124" s="15">
        <f t="shared" si="2"/>
        <v>-70</v>
      </c>
      <c r="P124" s="15">
        <f t="shared" si="3"/>
        <v>666.66666666666663</v>
      </c>
    </row>
    <row r="125" spans="1:16" x14ac:dyDescent="0.35">
      <c r="A125" s="8" t="s">
        <v>153</v>
      </c>
      <c r="B125" s="8" t="s">
        <v>10</v>
      </c>
      <c r="C125" s="8" t="s">
        <v>48</v>
      </c>
      <c r="D125" s="8" t="s">
        <v>214</v>
      </c>
      <c r="E125" s="8" t="s">
        <v>220</v>
      </c>
      <c r="F125" s="9">
        <v>2700000</v>
      </c>
      <c r="G125" s="10">
        <v>200</v>
      </c>
      <c r="H125" s="8" t="s">
        <v>221</v>
      </c>
      <c r="I125" s="10">
        <v>640</v>
      </c>
      <c r="J125" s="8" t="s">
        <v>239</v>
      </c>
      <c r="K125" s="8" t="s">
        <v>221</v>
      </c>
      <c r="L125" s="10">
        <v>650</v>
      </c>
      <c r="M125" s="13">
        <v>5</v>
      </c>
      <c r="N125" s="10">
        <v>16000000000</v>
      </c>
      <c r="O125" s="15">
        <f t="shared" si="2"/>
        <v>-10</v>
      </c>
      <c r="P125" s="15">
        <f t="shared" si="3"/>
        <v>5925.9259259259261</v>
      </c>
    </row>
    <row r="126" spans="1:16" x14ac:dyDescent="0.35">
      <c r="A126" s="8" t="s">
        <v>154</v>
      </c>
      <c r="B126" s="8" t="s">
        <v>4</v>
      </c>
      <c r="C126" s="8" t="s">
        <v>5</v>
      </c>
      <c r="D126" s="8" t="s">
        <v>214</v>
      </c>
      <c r="E126" s="8" t="s">
        <v>220</v>
      </c>
      <c r="F126" s="9">
        <v>31000000</v>
      </c>
      <c r="G126" s="10">
        <v>120</v>
      </c>
      <c r="H126" s="8" t="s">
        <v>221</v>
      </c>
      <c r="I126" s="10">
        <v>320</v>
      </c>
      <c r="J126" s="8" t="s">
        <v>239</v>
      </c>
      <c r="K126" s="8" t="s">
        <v>239</v>
      </c>
      <c r="L126" s="10">
        <v>280</v>
      </c>
      <c r="M126" s="13">
        <v>6</v>
      </c>
      <c r="N126" s="10">
        <v>48000000000</v>
      </c>
      <c r="O126" s="15">
        <f t="shared" si="2"/>
        <v>40</v>
      </c>
      <c r="P126" s="15">
        <f t="shared" si="3"/>
        <v>1548.3870967741937</v>
      </c>
    </row>
    <row r="127" spans="1:16" x14ac:dyDescent="0.35">
      <c r="A127" s="8" t="s">
        <v>155</v>
      </c>
      <c r="B127" s="8" t="s">
        <v>7</v>
      </c>
      <c r="C127" s="8" t="s">
        <v>30</v>
      </c>
      <c r="D127" s="8" t="s">
        <v>215</v>
      </c>
      <c r="E127" s="8" t="s">
        <v>221</v>
      </c>
      <c r="F127" s="9">
        <v>17900000</v>
      </c>
      <c r="G127" s="10">
        <v>2000</v>
      </c>
      <c r="H127" s="8" t="s">
        <v>219</v>
      </c>
      <c r="I127" s="10">
        <v>4800</v>
      </c>
      <c r="J127" s="8" t="s">
        <v>219</v>
      </c>
      <c r="K127" s="8" t="s">
        <v>219</v>
      </c>
      <c r="L127" s="10">
        <v>3000</v>
      </c>
      <c r="M127" s="13">
        <v>3</v>
      </c>
      <c r="N127" s="10">
        <v>1120000000000</v>
      </c>
      <c r="O127" s="15">
        <f t="shared" si="2"/>
        <v>1800</v>
      </c>
      <c r="P127" s="15">
        <f t="shared" si="3"/>
        <v>62569.832402234635</v>
      </c>
    </row>
    <row r="128" spans="1:16" x14ac:dyDescent="0.35">
      <c r="A128" s="8" t="s">
        <v>156</v>
      </c>
      <c r="B128" s="8" t="s">
        <v>13</v>
      </c>
      <c r="C128" s="8" t="s">
        <v>28</v>
      </c>
      <c r="D128" s="8" t="s">
        <v>215</v>
      </c>
      <c r="E128" s="8" t="s">
        <v>221</v>
      </c>
      <c r="F128" s="9">
        <v>5200000</v>
      </c>
      <c r="G128" s="10">
        <v>2200</v>
      </c>
      <c r="H128" s="8" t="s">
        <v>219</v>
      </c>
      <c r="I128" s="10">
        <v>4700</v>
      </c>
      <c r="J128" s="8" t="s">
        <v>219</v>
      </c>
      <c r="K128" s="8" t="s">
        <v>219</v>
      </c>
      <c r="L128" s="10">
        <v>3000</v>
      </c>
      <c r="M128" s="13">
        <v>3</v>
      </c>
      <c r="N128" s="10">
        <v>270000000000</v>
      </c>
      <c r="O128" s="15">
        <f t="shared" si="2"/>
        <v>1700</v>
      </c>
      <c r="P128" s="15">
        <f t="shared" si="3"/>
        <v>51923.076923076922</v>
      </c>
    </row>
    <row r="129" spans="1:16" x14ac:dyDescent="0.35">
      <c r="A129" s="8" t="s">
        <v>157</v>
      </c>
      <c r="B129" s="8" t="s">
        <v>19</v>
      </c>
      <c r="C129" s="8" t="s">
        <v>40</v>
      </c>
      <c r="D129" s="8" t="s">
        <v>214</v>
      </c>
      <c r="E129" s="8" t="s">
        <v>220</v>
      </c>
      <c r="F129" s="9">
        <v>6800000</v>
      </c>
      <c r="G129" s="10">
        <v>200</v>
      </c>
      <c r="H129" s="8" t="s">
        <v>221</v>
      </c>
      <c r="I129" s="10">
        <v>480</v>
      </c>
      <c r="J129" s="8" t="s">
        <v>239</v>
      </c>
      <c r="K129" s="8" t="s">
        <v>239</v>
      </c>
      <c r="L129" s="10">
        <v>350</v>
      </c>
      <c r="M129" s="13">
        <v>5</v>
      </c>
      <c r="N129" s="10">
        <v>27000000000</v>
      </c>
      <c r="O129" s="15">
        <f t="shared" si="2"/>
        <v>130</v>
      </c>
      <c r="P129" s="15">
        <f t="shared" si="3"/>
        <v>3970.5882352941176</v>
      </c>
    </row>
    <row r="130" spans="1:16" x14ac:dyDescent="0.35">
      <c r="A130" s="8" t="s">
        <v>158</v>
      </c>
      <c r="B130" s="8" t="s">
        <v>10</v>
      </c>
      <c r="C130" s="8" t="s">
        <v>42</v>
      </c>
      <c r="D130" s="8" t="s">
        <v>213</v>
      </c>
      <c r="E130" s="8" t="s">
        <v>219</v>
      </c>
      <c r="F130" s="9">
        <v>27000000</v>
      </c>
      <c r="G130" s="10">
        <v>50</v>
      </c>
      <c r="H130" s="8" t="s">
        <v>237</v>
      </c>
      <c r="I130" s="10">
        <v>130</v>
      </c>
      <c r="J130" s="8" t="s">
        <v>239</v>
      </c>
      <c r="K130" s="8" t="s">
        <v>239</v>
      </c>
      <c r="L130" s="10">
        <v>200</v>
      </c>
      <c r="M130" s="13">
        <v>4</v>
      </c>
      <c r="N130" s="10">
        <v>18000000000</v>
      </c>
      <c r="O130" s="15">
        <f t="shared" si="2"/>
        <v>-70</v>
      </c>
      <c r="P130" s="15">
        <f t="shared" si="3"/>
        <v>666.66666666666663</v>
      </c>
    </row>
    <row r="131" spans="1:16" x14ac:dyDescent="0.35">
      <c r="A131" s="8" t="s">
        <v>159</v>
      </c>
      <c r="B131" s="8" t="s">
        <v>10</v>
      </c>
      <c r="C131" s="8" t="s">
        <v>42</v>
      </c>
      <c r="D131" s="8" t="s">
        <v>214</v>
      </c>
      <c r="E131" s="8" t="s">
        <v>220</v>
      </c>
      <c r="F131" s="9">
        <v>229000000</v>
      </c>
      <c r="G131" s="10">
        <v>50</v>
      </c>
      <c r="H131" s="8" t="s">
        <v>237</v>
      </c>
      <c r="I131" s="10">
        <v>220</v>
      </c>
      <c r="J131" s="8" t="s">
        <v>239</v>
      </c>
      <c r="K131" s="8" t="s">
        <v>221</v>
      </c>
      <c r="L131" s="10">
        <v>450</v>
      </c>
      <c r="M131" s="13">
        <v>24</v>
      </c>
      <c r="N131" s="10">
        <v>560000000000</v>
      </c>
      <c r="O131" s="15">
        <f t="shared" ref="O131:O183" si="4">I131-L131</f>
        <v>-230</v>
      </c>
      <c r="P131" s="15">
        <f t="shared" ref="P131:P183" si="5">N131/F131</f>
        <v>2445.4148471615722</v>
      </c>
    </row>
    <row r="132" spans="1:16" x14ac:dyDescent="0.35">
      <c r="A132" s="8" t="s">
        <v>160</v>
      </c>
      <c r="B132" s="8" t="s">
        <v>7</v>
      </c>
      <c r="C132" s="8" t="s">
        <v>80</v>
      </c>
      <c r="D132" s="8" t="s">
        <v>215</v>
      </c>
      <c r="E132" s="8" t="s">
        <v>221</v>
      </c>
      <c r="F132" s="9">
        <v>5500000</v>
      </c>
      <c r="G132" s="10">
        <v>0</v>
      </c>
      <c r="H132" s="8" t="s">
        <v>219</v>
      </c>
      <c r="I132" s="10">
        <v>5600</v>
      </c>
      <c r="J132" s="8" t="s">
        <v>219</v>
      </c>
      <c r="K132" s="8" t="s">
        <v>219</v>
      </c>
      <c r="L132" s="10">
        <v>3500</v>
      </c>
      <c r="M132" s="13">
        <v>3</v>
      </c>
      <c r="N132" s="10">
        <v>620000000000</v>
      </c>
      <c r="O132" s="15">
        <f t="shared" si="4"/>
        <v>2100</v>
      </c>
      <c r="P132" s="15">
        <f t="shared" si="5"/>
        <v>112727.27272727272</v>
      </c>
    </row>
    <row r="133" spans="1:16" x14ac:dyDescent="0.35">
      <c r="A133" s="8" t="s">
        <v>161</v>
      </c>
      <c r="B133" s="8" t="s">
        <v>4</v>
      </c>
      <c r="C133" s="8" t="s">
        <v>25</v>
      </c>
      <c r="D133" s="8" t="s">
        <v>215</v>
      </c>
      <c r="E133" s="8" t="s">
        <v>221</v>
      </c>
      <c r="F133" s="9">
        <v>5000000</v>
      </c>
      <c r="G133" s="10">
        <v>1100</v>
      </c>
      <c r="H133" s="8" t="s">
        <v>220</v>
      </c>
      <c r="I133" s="10">
        <v>3200</v>
      </c>
      <c r="J133" s="8" t="s">
        <v>220</v>
      </c>
      <c r="K133" s="8" t="s">
        <v>224</v>
      </c>
      <c r="L133" s="10">
        <v>2000</v>
      </c>
      <c r="M133" s="13">
        <v>2</v>
      </c>
      <c r="N133" s="10">
        <v>130000000000</v>
      </c>
      <c r="O133" s="15">
        <f t="shared" si="4"/>
        <v>1200</v>
      </c>
      <c r="P133" s="15">
        <f t="shared" si="5"/>
        <v>26000</v>
      </c>
    </row>
    <row r="134" spans="1:16" x14ac:dyDescent="0.35">
      <c r="A134" s="8" t="s">
        <v>162</v>
      </c>
      <c r="B134" s="8" t="s">
        <v>4</v>
      </c>
      <c r="C134" s="8" t="s">
        <v>5</v>
      </c>
      <c r="D134" s="8" t="s">
        <v>214</v>
      </c>
      <c r="E134" s="8" t="s">
        <v>220</v>
      </c>
      <c r="F134" s="9">
        <v>242000000</v>
      </c>
      <c r="G134" s="10">
        <v>150</v>
      </c>
      <c r="H134" s="8" t="s">
        <v>221</v>
      </c>
      <c r="I134" s="10">
        <v>360</v>
      </c>
      <c r="J134" s="8" t="s">
        <v>239</v>
      </c>
      <c r="K134" s="8" t="s">
        <v>239</v>
      </c>
      <c r="L134" s="10">
        <v>250</v>
      </c>
      <c r="M134" s="13">
        <v>30</v>
      </c>
      <c r="N134" s="10">
        <v>450000000000</v>
      </c>
      <c r="O134" s="15">
        <f t="shared" si="4"/>
        <v>110</v>
      </c>
      <c r="P134" s="15">
        <f t="shared" si="5"/>
        <v>1859.504132231405</v>
      </c>
    </row>
    <row r="135" spans="1:16" x14ac:dyDescent="0.35">
      <c r="A135" s="8" t="s">
        <v>163</v>
      </c>
      <c r="B135" s="8" t="s">
        <v>19</v>
      </c>
      <c r="C135" s="8" t="s">
        <v>40</v>
      </c>
      <c r="D135" s="8" t="s">
        <v>216</v>
      </c>
      <c r="E135" s="8" t="s">
        <v>222</v>
      </c>
      <c r="F135" s="9">
        <v>4400000</v>
      </c>
      <c r="G135" s="10">
        <v>700</v>
      </c>
      <c r="H135" s="8" t="s">
        <v>220</v>
      </c>
      <c r="I135" s="10">
        <v>1600</v>
      </c>
      <c r="J135" s="8" t="s">
        <v>224</v>
      </c>
      <c r="K135" s="8" t="s">
        <v>224</v>
      </c>
      <c r="L135" s="10">
        <v>1200</v>
      </c>
      <c r="M135" s="13">
        <v>3</v>
      </c>
      <c r="N135" s="10">
        <v>95000000000</v>
      </c>
      <c r="O135" s="15">
        <f t="shared" si="4"/>
        <v>400</v>
      </c>
      <c r="P135" s="15">
        <f t="shared" si="5"/>
        <v>21590.909090909092</v>
      </c>
    </row>
    <row r="136" spans="1:16" x14ac:dyDescent="0.35">
      <c r="A136" s="8" t="s">
        <v>164</v>
      </c>
      <c r="B136" s="8" t="s">
        <v>13</v>
      </c>
      <c r="C136" s="8" t="s">
        <v>93</v>
      </c>
      <c r="D136" s="8" t="s">
        <v>213</v>
      </c>
      <c r="E136" s="8" t="s">
        <v>219</v>
      </c>
      <c r="F136" s="9">
        <v>10000000</v>
      </c>
      <c r="G136" s="10">
        <v>100</v>
      </c>
      <c r="H136" s="8" t="s">
        <v>237</v>
      </c>
      <c r="I136" s="10">
        <v>260</v>
      </c>
      <c r="J136" s="8" t="s">
        <v>239</v>
      </c>
      <c r="K136" s="8" t="s">
        <v>239</v>
      </c>
      <c r="L136" s="10">
        <v>450</v>
      </c>
      <c r="M136" s="13">
        <v>5</v>
      </c>
      <c r="N136" s="10">
        <v>32000000000</v>
      </c>
      <c r="O136" s="15">
        <f t="shared" si="4"/>
        <v>-190</v>
      </c>
      <c r="P136" s="15">
        <f t="shared" si="5"/>
        <v>3200</v>
      </c>
    </row>
    <row r="137" spans="1:16" x14ac:dyDescent="0.35">
      <c r="A137" s="8" t="s">
        <v>165</v>
      </c>
      <c r="B137" s="8" t="s">
        <v>23</v>
      </c>
      <c r="C137" s="8" t="s">
        <v>23</v>
      </c>
      <c r="D137" s="8" t="s">
        <v>214</v>
      </c>
      <c r="E137" s="8" t="s">
        <v>220</v>
      </c>
      <c r="F137" s="9">
        <v>7200000</v>
      </c>
      <c r="G137" s="10">
        <v>300</v>
      </c>
      <c r="H137" s="8" t="s">
        <v>224</v>
      </c>
      <c r="I137" s="10">
        <v>720</v>
      </c>
      <c r="J137" s="8" t="s">
        <v>221</v>
      </c>
      <c r="K137" s="8" t="s">
        <v>221</v>
      </c>
      <c r="L137" s="10">
        <v>550</v>
      </c>
      <c r="M137" s="13">
        <v>4</v>
      </c>
      <c r="N137" s="10">
        <v>50000000000</v>
      </c>
      <c r="O137" s="15">
        <f t="shared" si="4"/>
        <v>170</v>
      </c>
      <c r="P137" s="15">
        <f t="shared" si="5"/>
        <v>6944.4444444444443</v>
      </c>
    </row>
    <row r="138" spans="1:16" x14ac:dyDescent="0.35">
      <c r="A138" s="8" t="s">
        <v>166</v>
      </c>
      <c r="B138" s="8" t="s">
        <v>23</v>
      </c>
      <c r="C138" s="8" t="s">
        <v>23</v>
      </c>
      <c r="D138" s="8" t="s">
        <v>216</v>
      </c>
      <c r="E138" s="8" t="s">
        <v>222</v>
      </c>
      <c r="F138" s="9">
        <v>34000000</v>
      </c>
      <c r="G138" s="10">
        <v>450</v>
      </c>
      <c r="H138" s="8" t="s">
        <v>224</v>
      </c>
      <c r="I138" s="10">
        <v>1050</v>
      </c>
      <c r="J138" s="8" t="s">
        <v>221</v>
      </c>
      <c r="K138" s="8" t="s">
        <v>224</v>
      </c>
      <c r="L138" s="10">
        <v>750</v>
      </c>
      <c r="M138" s="13">
        <v>4</v>
      </c>
      <c r="N138" s="10">
        <v>250000000000</v>
      </c>
      <c r="O138" s="15">
        <f t="shared" si="4"/>
        <v>300</v>
      </c>
      <c r="P138" s="15">
        <f t="shared" si="5"/>
        <v>7352.9411764705883</v>
      </c>
    </row>
    <row r="139" spans="1:16" x14ac:dyDescent="0.35">
      <c r="A139" s="8" t="s">
        <v>167</v>
      </c>
      <c r="B139" s="8" t="s">
        <v>4</v>
      </c>
      <c r="C139" s="8" t="s">
        <v>51</v>
      </c>
      <c r="D139" s="8" t="s">
        <v>214</v>
      </c>
      <c r="E139" s="8" t="s">
        <v>220</v>
      </c>
      <c r="F139" s="9">
        <v>117000000</v>
      </c>
      <c r="G139" s="10">
        <v>180</v>
      </c>
      <c r="H139" s="8" t="s">
        <v>221</v>
      </c>
      <c r="I139" s="10">
        <v>560</v>
      </c>
      <c r="J139" s="8" t="s">
        <v>239</v>
      </c>
      <c r="K139" s="8" t="s">
        <v>221</v>
      </c>
      <c r="L139" s="10">
        <v>550</v>
      </c>
      <c r="M139" s="13">
        <v>5</v>
      </c>
      <c r="N139" s="10">
        <v>480000000000</v>
      </c>
      <c r="O139" s="15">
        <f t="shared" si="4"/>
        <v>10</v>
      </c>
      <c r="P139" s="15">
        <f t="shared" si="5"/>
        <v>4102.5641025641025</v>
      </c>
    </row>
    <row r="140" spans="1:16" x14ac:dyDescent="0.35">
      <c r="A140" s="8" t="s">
        <v>168</v>
      </c>
      <c r="B140" s="8" t="s">
        <v>7</v>
      </c>
      <c r="C140" s="8" t="s">
        <v>37</v>
      </c>
      <c r="D140" s="8" t="s">
        <v>215</v>
      </c>
      <c r="E140" s="8" t="s">
        <v>221</v>
      </c>
      <c r="F140" s="9">
        <v>37000000</v>
      </c>
      <c r="G140" s="10">
        <v>950</v>
      </c>
      <c r="H140" s="8" t="s">
        <v>220</v>
      </c>
      <c r="I140" s="10">
        <v>2300</v>
      </c>
      <c r="J140" s="8" t="s">
        <v>224</v>
      </c>
      <c r="K140" s="8" t="s">
        <v>224</v>
      </c>
      <c r="L140" s="10">
        <v>1600</v>
      </c>
      <c r="M140" s="13">
        <v>4</v>
      </c>
      <c r="N140" s="10">
        <v>820000000000</v>
      </c>
      <c r="O140" s="15">
        <f t="shared" si="4"/>
        <v>700</v>
      </c>
      <c r="P140" s="15">
        <f t="shared" si="5"/>
        <v>22162.162162162163</v>
      </c>
    </row>
    <row r="141" spans="1:16" x14ac:dyDescent="0.35">
      <c r="A141" s="8" t="s">
        <v>169</v>
      </c>
      <c r="B141" s="8" t="s">
        <v>7</v>
      </c>
      <c r="C141" s="8" t="s">
        <v>8</v>
      </c>
      <c r="D141" s="8" t="s">
        <v>215</v>
      </c>
      <c r="E141" s="8" t="s">
        <v>221</v>
      </c>
      <c r="F141" s="9">
        <v>10200000</v>
      </c>
      <c r="G141" s="10">
        <v>1000</v>
      </c>
      <c r="H141" s="8" t="s">
        <v>220</v>
      </c>
      <c r="I141" s="10">
        <v>2200</v>
      </c>
      <c r="J141" s="8" t="s">
        <v>224</v>
      </c>
      <c r="K141" s="8" t="s">
        <v>220</v>
      </c>
      <c r="L141" s="10">
        <v>1900</v>
      </c>
      <c r="M141" s="13">
        <v>3</v>
      </c>
      <c r="N141" s="10">
        <v>310000000000</v>
      </c>
      <c r="O141" s="15">
        <f t="shared" si="4"/>
        <v>300</v>
      </c>
      <c r="P141" s="15">
        <f t="shared" si="5"/>
        <v>30392.156862745098</v>
      </c>
    </row>
    <row r="142" spans="1:16" x14ac:dyDescent="0.35">
      <c r="A142" s="8" t="s">
        <v>170</v>
      </c>
      <c r="B142" s="8" t="s">
        <v>4</v>
      </c>
      <c r="C142" s="8" t="s">
        <v>25</v>
      </c>
      <c r="D142" s="8" t="s">
        <v>215</v>
      </c>
      <c r="E142" s="8" t="s">
        <v>221</v>
      </c>
      <c r="F142" s="9">
        <v>3000000</v>
      </c>
      <c r="G142" s="10">
        <v>1600</v>
      </c>
      <c r="H142" s="8" t="s">
        <v>219</v>
      </c>
      <c r="I142" s="10">
        <v>5000</v>
      </c>
      <c r="J142" s="8" t="s">
        <v>219</v>
      </c>
      <c r="K142" s="8" t="s">
        <v>220</v>
      </c>
      <c r="L142" s="10">
        <v>2800</v>
      </c>
      <c r="M142" s="13">
        <v>2</v>
      </c>
      <c r="N142" s="10">
        <v>250000000000</v>
      </c>
      <c r="O142" s="15">
        <f t="shared" si="4"/>
        <v>2200</v>
      </c>
      <c r="P142" s="15">
        <f t="shared" si="5"/>
        <v>83333.333333333328</v>
      </c>
    </row>
    <row r="143" spans="1:16" x14ac:dyDescent="0.35">
      <c r="A143" s="8" t="s">
        <v>171</v>
      </c>
      <c r="B143" s="8" t="s">
        <v>7</v>
      </c>
      <c r="C143" s="8" t="s">
        <v>37</v>
      </c>
      <c r="D143" s="8" t="s">
        <v>215</v>
      </c>
      <c r="E143" s="8" t="s">
        <v>221</v>
      </c>
      <c r="F143" s="9">
        <v>19000000</v>
      </c>
      <c r="G143" s="10">
        <v>900</v>
      </c>
      <c r="H143" s="8" t="s">
        <v>220</v>
      </c>
      <c r="I143" s="10">
        <v>2000</v>
      </c>
      <c r="J143" s="8" t="s">
        <v>224</v>
      </c>
      <c r="K143" s="8" t="s">
        <v>224</v>
      </c>
      <c r="L143" s="10">
        <v>1400</v>
      </c>
      <c r="M143" s="13">
        <v>4</v>
      </c>
      <c r="N143" s="10">
        <v>360000000000</v>
      </c>
      <c r="O143" s="15">
        <f t="shared" si="4"/>
        <v>600</v>
      </c>
      <c r="P143" s="15">
        <f t="shared" si="5"/>
        <v>18947.36842105263</v>
      </c>
    </row>
    <row r="144" spans="1:16" x14ac:dyDescent="0.35">
      <c r="A144" s="8" t="s">
        <v>172</v>
      </c>
      <c r="B144" s="8" t="s">
        <v>7</v>
      </c>
      <c r="C144" s="8" t="s">
        <v>37</v>
      </c>
      <c r="D144" s="8" t="s">
        <v>217</v>
      </c>
      <c r="E144" s="8" t="s">
        <v>222</v>
      </c>
      <c r="F144" s="9">
        <v>144000000</v>
      </c>
      <c r="G144" s="10">
        <v>300</v>
      </c>
      <c r="H144" s="8" t="s">
        <v>224</v>
      </c>
      <c r="I144" s="10">
        <v>960</v>
      </c>
      <c r="J144" s="8" t="s">
        <v>221</v>
      </c>
      <c r="K144" s="8" t="s">
        <v>221</v>
      </c>
      <c r="L144" s="10">
        <v>800</v>
      </c>
      <c r="M144" s="13">
        <v>6</v>
      </c>
      <c r="N144" s="10">
        <v>2200000000000</v>
      </c>
      <c r="O144" s="15">
        <f t="shared" si="4"/>
        <v>160</v>
      </c>
      <c r="P144" s="15">
        <f t="shared" si="5"/>
        <v>15277.777777777777</v>
      </c>
    </row>
    <row r="145" spans="1:16" x14ac:dyDescent="0.35">
      <c r="A145" s="8" t="s">
        <v>173</v>
      </c>
      <c r="B145" s="8" t="s">
        <v>10</v>
      </c>
      <c r="C145" s="8" t="s">
        <v>56</v>
      </c>
      <c r="D145" s="8" t="s">
        <v>213</v>
      </c>
      <c r="E145" s="8" t="s">
        <v>219</v>
      </c>
      <c r="F145" s="9">
        <v>14000000</v>
      </c>
      <c r="G145" s="10">
        <v>80</v>
      </c>
      <c r="H145" s="8" t="s">
        <v>237</v>
      </c>
      <c r="I145" s="10">
        <v>220</v>
      </c>
      <c r="J145" s="8" t="s">
        <v>239</v>
      </c>
      <c r="K145" s="8" t="s">
        <v>239</v>
      </c>
      <c r="L145" s="10">
        <v>280</v>
      </c>
      <c r="M145" s="13">
        <v>6</v>
      </c>
      <c r="N145" s="10">
        <v>16000000000</v>
      </c>
      <c r="O145" s="15">
        <f t="shared" si="4"/>
        <v>-60</v>
      </c>
      <c r="P145" s="15">
        <f t="shared" si="5"/>
        <v>1142.8571428571429</v>
      </c>
    </row>
    <row r="146" spans="1:16" x14ac:dyDescent="0.35">
      <c r="A146" s="8" t="s">
        <v>174</v>
      </c>
      <c r="B146" s="8" t="s">
        <v>4</v>
      </c>
      <c r="C146" s="8" t="s">
        <v>25</v>
      </c>
      <c r="D146" s="8" t="s">
        <v>215</v>
      </c>
      <c r="E146" s="8" t="s">
        <v>221</v>
      </c>
      <c r="F146" s="9">
        <v>36000000</v>
      </c>
      <c r="G146" s="10">
        <v>1500</v>
      </c>
      <c r="H146" s="8" t="s">
        <v>219</v>
      </c>
      <c r="I146" s="10">
        <v>4500</v>
      </c>
      <c r="J146" s="8" t="s">
        <v>219</v>
      </c>
      <c r="K146" s="8" t="s">
        <v>224</v>
      </c>
      <c r="L146" s="10">
        <v>2500</v>
      </c>
      <c r="M146" s="13">
        <v>2</v>
      </c>
      <c r="N146" s="10">
        <v>1150000000000</v>
      </c>
      <c r="O146" s="15">
        <f t="shared" si="4"/>
        <v>2000</v>
      </c>
      <c r="P146" s="15">
        <f t="shared" si="5"/>
        <v>31944.444444444445</v>
      </c>
    </row>
    <row r="147" spans="1:16" x14ac:dyDescent="0.35">
      <c r="A147" s="8" t="s">
        <v>175</v>
      </c>
      <c r="B147" s="8" t="s">
        <v>10</v>
      </c>
      <c r="C147" s="8" t="s">
        <v>42</v>
      </c>
      <c r="D147" s="8" t="s">
        <v>213</v>
      </c>
      <c r="E147" s="8" t="s">
        <v>219</v>
      </c>
      <c r="F147" s="9">
        <v>18000000</v>
      </c>
      <c r="G147" s="10">
        <v>90</v>
      </c>
      <c r="H147" s="8" t="s">
        <v>237</v>
      </c>
      <c r="I147" s="10">
        <v>250</v>
      </c>
      <c r="J147" s="8" t="s">
        <v>239</v>
      </c>
      <c r="K147" s="8" t="s">
        <v>221</v>
      </c>
      <c r="L147" s="10">
        <v>420</v>
      </c>
      <c r="M147" s="13">
        <v>4</v>
      </c>
      <c r="N147" s="10">
        <v>38000000000</v>
      </c>
      <c r="O147" s="15">
        <f t="shared" si="4"/>
        <v>-170</v>
      </c>
      <c r="P147" s="15">
        <f t="shared" si="5"/>
        <v>2111.1111111111113</v>
      </c>
    </row>
    <row r="148" spans="1:16" x14ac:dyDescent="0.35">
      <c r="A148" s="8" t="s">
        <v>176</v>
      </c>
      <c r="B148" s="8" t="s">
        <v>7</v>
      </c>
      <c r="C148" s="8" t="s">
        <v>8</v>
      </c>
      <c r="D148" s="8" t="s">
        <v>214</v>
      </c>
      <c r="E148" s="8" t="s">
        <v>220</v>
      </c>
      <c r="F148" s="9">
        <v>6700000</v>
      </c>
      <c r="G148" s="10">
        <v>500</v>
      </c>
      <c r="H148" s="8" t="s">
        <v>224</v>
      </c>
      <c r="I148" s="10">
        <v>1000</v>
      </c>
      <c r="J148" s="8" t="s">
        <v>221</v>
      </c>
      <c r="K148" s="8" t="s">
        <v>221</v>
      </c>
      <c r="L148" s="10">
        <v>800</v>
      </c>
      <c r="M148" s="13">
        <v>5</v>
      </c>
      <c r="N148" s="10">
        <v>90000000000</v>
      </c>
      <c r="O148" s="15">
        <f t="shared" si="4"/>
        <v>200</v>
      </c>
      <c r="P148" s="15">
        <f t="shared" si="5"/>
        <v>13432.835820895523</v>
      </c>
    </row>
    <row r="149" spans="1:16" x14ac:dyDescent="0.35">
      <c r="A149" s="8" t="s">
        <v>177</v>
      </c>
      <c r="B149" s="8" t="s">
        <v>10</v>
      </c>
      <c r="C149" s="8" t="s">
        <v>42</v>
      </c>
      <c r="D149" s="8" t="s">
        <v>213</v>
      </c>
      <c r="E149" s="8" t="s">
        <v>219</v>
      </c>
      <c r="F149" s="9">
        <v>8600000</v>
      </c>
      <c r="G149" s="10">
        <v>60</v>
      </c>
      <c r="H149" s="8" t="s">
        <v>237</v>
      </c>
      <c r="I149" s="10">
        <v>170</v>
      </c>
      <c r="J149" s="8" t="s">
        <v>239</v>
      </c>
      <c r="K149" s="8" t="s">
        <v>239</v>
      </c>
      <c r="L149" s="10">
        <v>200</v>
      </c>
      <c r="M149" s="13">
        <v>8</v>
      </c>
      <c r="N149" s="10">
        <v>8000000000</v>
      </c>
      <c r="O149" s="15">
        <f t="shared" si="4"/>
        <v>-30</v>
      </c>
      <c r="P149" s="15">
        <f t="shared" si="5"/>
        <v>930.23255813953483</v>
      </c>
    </row>
    <row r="150" spans="1:16" x14ac:dyDescent="0.35">
      <c r="A150" s="8" t="s">
        <v>178</v>
      </c>
      <c r="B150" s="8" t="s">
        <v>4</v>
      </c>
      <c r="C150" s="8" t="s">
        <v>51</v>
      </c>
      <c r="D150" s="8" t="s">
        <v>215</v>
      </c>
      <c r="E150" s="8" t="s">
        <v>221</v>
      </c>
      <c r="F150" s="9">
        <v>5900000</v>
      </c>
      <c r="G150" s="10">
        <v>1800</v>
      </c>
      <c r="H150" s="8" t="s">
        <v>219</v>
      </c>
      <c r="I150" s="10">
        <v>5500</v>
      </c>
      <c r="J150" s="8" t="s">
        <v>219</v>
      </c>
      <c r="K150" s="8" t="s">
        <v>219</v>
      </c>
      <c r="L150" s="10">
        <v>3500</v>
      </c>
      <c r="M150" s="13">
        <v>3</v>
      </c>
      <c r="N150" s="10">
        <v>540000000000</v>
      </c>
      <c r="O150" s="15">
        <f t="shared" si="4"/>
        <v>2000</v>
      </c>
      <c r="P150" s="15">
        <f t="shared" si="5"/>
        <v>91525.423728813563</v>
      </c>
    </row>
    <row r="151" spans="1:16" x14ac:dyDescent="0.35">
      <c r="A151" s="8" t="s">
        <v>179</v>
      </c>
      <c r="B151" s="8" t="s">
        <v>7</v>
      </c>
      <c r="C151" s="8" t="s">
        <v>37</v>
      </c>
      <c r="D151" s="8" t="s">
        <v>215</v>
      </c>
      <c r="E151" s="8" t="s">
        <v>221</v>
      </c>
      <c r="F151" s="9">
        <v>5400000</v>
      </c>
      <c r="G151" s="10">
        <v>900</v>
      </c>
      <c r="H151" s="8" t="s">
        <v>220</v>
      </c>
      <c r="I151" s="10">
        <v>2200</v>
      </c>
      <c r="J151" s="8" t="s">
        <v>224</v>
      </c>
      <c r="K151" s="8" t="s">
        <v>224</v>
      </c>
      <c r="L151" s="10">
        <v>1600</v>
      </c>
      <c r="M151" s="13">
        <v>4</v>
      </c>
      <c r="N151" s="10">
        <v>155000000000</v>
      </c>
      <c r="O151" s="15">
        <f t="shared" si="4"/>
        <v>600</v>
      </c>
      <c r="P151" s="15">
        <f t="shared" si="5"/>
        <v>28703.703703703704</v>
      </c>
    </row>
    <row r="152" spans="1:16" x14ac:dyDescent="0.35">
      <c r="A152" s="8" t="s">
        <v>180</v>
      </c>
      <c r="B152" s="8" t="s">
        <v>7</v>
      </c>
      <c r="C152" s="8" t="s">
        <v>8</v>
      </c>
      <c r="D152" s="8" t="s">
        <v>215</v>
      </c>
      <c r="E152" s="8" t="s">
        <v>221</v>
      </c>
      <c r="F152" s="9">
        <v>2100000</v>
      </c>
      <c r="G152" s="10">
        <v>1100</v>
      </c>
      <c r="H152" s="8" t="s">
        <v>220</v>
      </c>
      <c r="I152" s="10">
        <v>2400</v>
      </c>
      <c r="J152" s="8" t="s">
        <v>224</v>
      </c>
      <c r="K152" s="8" t="s">
        <v>220</v>
      </c>
      <c r="L152" s="10">
        <v>1800</v>
      </c>
      <c r="M152" s="13">
        <v>3</v>
      </c>
      <c r="N152" s="10">
        <v>78000000000</v>
      </c>
      <c r="O152" s="15">
        <f t="shared" si="4"/>
        <v>600</v>
      </c>
      <c r="P152" s="15">
        <f t="shared" si="5"/>
        <v>37142.857142857145</v>
      </c>
    </row>
    <row r="153" spans="1:16" x14ac:dyDescent="0.35">
      <c r="A153" s="8" t="s">
        <v>181</v>
      </c>
      <c r="B153" s="8" t="s">
        <v>10</v>
      </c>
      <c r="C153" s="8" t="s">
        <v>56</v>
      </c>
      <c r="D153" s="8" t="s">
        <v>213</v>
      </c>
      <c r="E153" s="8" t="s">
        <v>219</v>
      </c>
      <c r="F153" s="9">
        <v>18000000</v>
      </c>
      <c r="G153" s="10">
        <v>0</v>
      </c>
      <c r="H153" s="8" t="s">
        <v>237</v>
      </c>
      <c r="I153" s="10">
        <v>0</v>
      </c>
      <c r="J153" s="8" t="s">
        <v>239</v>
      </c>
      <c r="K153" s="8" t="s">
        <v>239</v>
      </c>
      <c r="L153" s="10">
        <v>180</v>
      </c>
      <c r="M153" s="13">
        <v>6</v>
      </c>
      <c r="N153" s="10">
        <v>10000000000</v>
      </c>
      <c r="O153" s="15">
        <f t="shared" si="4"/>
        <v>-180</v>
      </c>
      <c r="P153" s="15">
        <f t="shared" si="5"/>
        <v>555.55555555555554</v>
      </c>
    </row>
    <row r="154" spans="1:16" x14ac:dyDescent="0.35">
      <c r="A154" s="8" t="s">
        <v>182</v>
      </c>
      <c r="B154" s="8" t="s">
        <v>10</v>
      </c>
      <c r="C154" s="8" t="s">
        <v>48</v>
      </c>
      <c r="D154" s="8" t="s">
        <v>216</v>
      </c>
      <c r="E154" s="8" t="s">
        <v>222</v>
      </c>
      <c r="F154" s="9">
        <v>60000000</v>
      </c>
      <c r="G154" s="10">
        <v>250</v>
      </c>
      <c r="H154" s="8" t="s">
        <v>224</v>
      </c>
      <c r="I154" s="10">
        <v>900</v>
      </c>
      <c r="J154" s="8" t="s">
        <v>221</v>
      </c>
      <c r="K154" s="8" t="s">
        <v>224</v>
      </c>
      <c r="L154" s="10">
        <v>900</v>
      </c>
      <c r="M154" s="13">
        <v>5</v>
      </c>
      <c r="N154" s="10">
        <v>450000000000</v>
      </c>
      <c r="O154" s="15">
        <f t="shared" si="4"/>
        <v>0</v>
      </c>
      <c r="P154" s="15">
        <f t="shared" si="5"/>
        <v>7500</v>
      </c>
    </row>
    <row r="155" spans="1:16" x14ac:dyDescent="0.35">
      <c r="A155" s="8" t="s">
        <v>183</v>
      </c>
      <c r="B155" s="8" t="s">
        <v>7</v>
      </c>
      <c r="C155" s="8" t="s">
        <v>8</v>
      </c>
      <c r="D155" s="8" t="s">
        <v>215</v>
      </c>
      <c r="E155" s="8" t="s">
        <v>221</v>
      </c>
      <c r="F155" s="9">
        <v>48000000</v>
      </c>
      <c r="G155" s="10">
        <v>1200</v>
      </c>
      <c r="H155" s="8" t="s">
        <v>219</v>
      </c>
      <c r="I155" s="10">
        <v>2700</v>
      </c>
      <c r="J155" s="8" t="s">
        <v>219</v>
      </c>
      <c r="K155" s="8" t="s">
        <v>220</v>
      </c>
      <c r="L155" s="10">
        <v>2200</v>
      </c>
      <c r="M155" s="13">
        <v>3</v>
      </c>
      <c r="N155" s="10">
        <v>1750000000000</v>
      </c>
      <c r="O155" s="15">
        <f t="shared" si="4"/>
        <v>500</v>
      </c>
      <c r="P155" s="15">
        <f t="shared" si="5"/>
        <v>36458.333333333336</v>
      </c>
    </row>
    <row r="156" spans="1:16" x14ac:dyDescent="0.35">
      <c r="A156" s="8" t="s">
        <v>184</v>
      </c>
      <c r="B156" s="8" t="s">
        <v>4</v>
      </c>
      <c r="C156" s="8" t="s">
        <v>5</v>
      </c>
      <c r="D156" s="8" t="s">
        <v>214</v>
      </c>
      <c r="E156" s="8" t="s">
        <v>220</v>
      </c>
      <c r="F156" s="9">
        <v>22000000</v>
      </c>
      <c r="G156" s="10">
        <v>120</v>
      </c>
      <c r="H156" s="8" t="s">
        <v>221</v>
      </c>
      <c r="I156" s="10">
        <v>360</v>
      </c>
      <c r="J156" s="8" t="s">
        <v>239</v>
      </c>
      <c r="K156" s="8" t="s">
        <v>221</v>
      </c>
      <c r="L156" s="10">
        <v>320</v>
      </c>
      <c r="M156" s="13">
        <v>8</v>
      </c>
      <c r="N156" s="10">
        <v>90000000000</v>
      </c>
      <c r="O156" s="15">
        <f t="shared" si="4"/>
        <v>40</v>
      </c>
      <c r="P156" s="15">
        <f t="shared" si="5"/>
        <v>4090.909090909091</v>
      </c>
    </row>
    <row r="157" spans="1:16" x14ac:dyDescent="0.35">
      <c r="A157" s="8" t="s">
        <v>185</v>
      </c>
      <c r="B157" s="8" t="s">
        <v>10</v>
      </c>
      <c r="C157" s="8" t="s">
        <v>11</v>
      </c>
      <c r="D157" s="8" t="s">
        <v>213</v>
      </c>
      <c r="E157" s="8" t="s">
        <v>219</v>
      </c>
      <c r="F157" s="9">
        <v>49000000</v>
      </c>
      <c r="G157" s="10">
        <v>40</v>
      </c>
      <c r="H157" s="8" t="s">
        <v>237</v>
      </c>
      <c r="I157" s="10">
        <v>110</v>
      </c>
      <c r="J157" s="8" t="s">
        <v>239</v>
      </c>
      <c r="K157" s="8" t="s">
        <v>239</v>
      </c>
      <c r="L157" s="10">
        <v>200</v>
      </c>
      <c r="M157" s="13">
        <v>80</v>
      </c>
      <c r="N157" s="10">
        <v>60000000000</v>
      </c>
      <c r="O157" s="15">
        <f t="shared" si="4"/>
        <v>-90</v>
      </c>
      <c r="P157" s="15">
        <f t="shared" si="5"/>
        <v>1224.4897959183672</v>
      </c>
    </row>
    <row r="158" spans="1:16" x14ac:dyDescent="0.35">
      <c r="A158" s="8" t="s">
        <v>186</v>
      </c>
      <c r="B158" s="8" t="s">
        <v>23</v>
      </c>
      <c r="C158" s="8" t="s">
        <v>23</v>
      </c>
      <c r="D158" s="8" t="s">
        <v>214</v>
      </c>
      <c r="E158" s="8" t="s">
        <v>220</v>
      </c>
      <c r="F158" s="9">
        <v>600000</v>
      </c>
      <c r="G158" s="10">
        <v>300</v>
      </c>
      <c r="H158" s="8" t="s">
        <v>221</v>
      </c>
      <c r="I158" s="10">
        <v>720</v>
      </c>
      <c r="J158" s="8" t="s">
        <v>221</v>
      </c>
      <c r="K158" s="8" t="s">
        <v>221</v>
      </c>
      <c r="L158" s="10">
        <v>650</v>
      </c>
      <c r="M158" s="13">
        <v>6</v>
      </c>
      <c r="N158" s="10">
        <v>9000000000</v>
      </c>
      <c r="O158" s="15">
        <f t="shared" si="4"/>
        <v>70</v>
      </c>
      <c r="P158" s="15">
        <f t="shared" si="5"/>
        <v>15000</v>
      </c>
    </row>
    <row r="159" spans="1:16" x14ac:dyDescent="0.35">
      <c r="A159" s="8" t="s">
        <v>187</v>
      </c>
      <c r="B159" s="8" t="s">
        <v>7</v>
      </c>
      <c r="C159" s="8" t="s">
        <v>80</v>
      </c>
      <c r="D159" s="8" t="s">
        <v>215</v>
      </c>
      <c r="E159" s="8" t="s">
        <v>221</v>
      </c>
      <c r="F159" s="9">
        <v>10500000</v>
      </c>
      <c r="G159" s="10">
        <v>0</v>
      </c>
      <c r="H159" s="8" t="s">
        <v>219</v>
      </c>
      <c r="I159" s="10">
        <v>5200</v>
      </c>
      <c r="J159" s="8" t="s">
        <v>219</v>
      </c>
      <c r="K159" s="8" t="s">
        <v>219</v>
      </c>
      <c r="L159" s="10">
        <v>3200</v>
      </c>
      <c r="M159" s="13">
        <v>3</v>
      </c>
      <c r="N159" s="10">
        <v>670000000000</v>
      </c>
      <c r="O159" s="15">
        <f t="shared" si="4"/>
        <v>2000</v>
      </c>
      <c r="P159" s="15">
        <f t="shared" si="5"/>
        <v>63809.523809523809</v>
      </c>
    </row>
    <row r="160" spans="1:16" x14ac:dyDescent="0.35">
      <c r="A160" s="8" t="s">
        <v>188</v>
      </c>
      <c r="B160" s="8" t="s">
        <v>7</v>
      </c>
      <c r="C160" s="8" t="s">
        <v>30</v>
      </c>
      <c r="D160" s="8" t="s">
        <v>215</v>
      </c>
      <c r="E160" s="8" t="s">
        <v>221</v>
      </c>
      <c r="F160" s="9">
        <v>9000000</v>
      </c>
      <c r="G160" s="10">
        <v>0</v>
      </c>
      <c r="H160" s="8" t="s">
        <v>219</v>
      </c>
      <c r="I160" s="10">
        <v>6500</v>
      </c>
      <c r="J160" s="8" t="s">
        <v>219</v>
      </c>
      <c r="K160" s="8" t="s">
        <v>219</v>
      </c>
      <c r="L160" s="10">
        <v>4200</v>
      </c>
      <c r="M160" s="13">
        <v>2</v>
      </c>
      <c r="N160" s="10">
        <v>950000000000</v>
      </c>
      <c r="O160" s="15">
        <f t="shared" si="4"/>
        <v>2300</v>
      </c>
      <c r="P160" s="15">
        <f t="shared" si="5"/>
        <v>105555.55555555556</v>
      </c>
    </row>
    <row r="161" spans="1:16" x14ac:dyDescent="0.35">
      <c r="A161" s="8" t="s">
        <v>189</v>
      </c>
      <c r="B161" s="8" t="s">
        <v>4</v>
      </c>
      <c r="C161" s="8" t="s">
        <v>25</v>
      </c>
      <c r="D161" s="8" t="s">
        <v>213</v>
      </c>
      <c r="E161" s="8" t="s">
        <v>219</v>
      </c>
      <c r="F161" s="9">
        <v>24000000</v>
      </c>
      <c r="G161" s="10">
        <v>20</v>
      </c>
      <c r="H161" s="8" t="s">
        <v>237</v>
      </c>
      <c r="I161" s="10">
        <v>60</v>
      </c>
      <c r="J161" s="8" t="s">
        <v>239</v>
      </c>
      <c r="K161" s="8" t="s">
        <v>239</v>
      </c>
      <c r="L161" s="10">
        <v>180</v>
      </c>
      <c r="M161" s="13">
        <v>50</v>
      </c>
      <c r="N161" s="10">
        <v>25000000000</v>
      </c>
      <c r="O161" s="15">
        <f t="shared" si="4"/>
        <v>-120</v>
      </c>
      <c r="P161" s="15">
        <f t="shared" si="5"/>
        <v>1041.6666666666667</v>
      </c>
    </row>
    <row r="162" spans="1:16" x14ac:dyDescent="0.35">
      <c r="A162" s="8" t="s">
        <v>190</v>
      </c>
      <c r="B162" s="8" t="s">
        <v>4</v>
      </c>
      <c r="C162" s="8" t="s">
        <v>67</v>
      </c>
      <c r="D162" s="8" t="s">
        <v>215</v>
      </c>
      <c r="E162" s="8" t="s">
        <v>221</v>
      </c>
      <c r="F162" s="9">
        <v>23000000</v>
      </c>
      <c r="G162" s="10">
        <v>900</v>
      </c>
      <c r="H162" s="8" t="s">
        <v>220</v>
      </c>
      <c r="I162" s="10">
        <v>3000</v>
      </c>
      <c r="J162" s="8" t="s">
        <v>220</v>
      </c>
      <c r="K162" s="8" t="s">
        <v>220</v>
      </c>
      <c r="L162" s="10">
        <v>2200</v>
      </c>
      <c r="M162" s="13">
        <v>3</v>
      </c>
      <c r="N162" s="10">
        <v>860000000000</v>
      </c>
      <c r="O162" s="15">
        <f t="shared" si="4"/>
        <v>800</v>
      </c>
      <c r="P162" s="15">
        <f t="shared" si="5"/>
        <v>37391.304347826088</v>
      </c>
    </row>
    <row r="163" spans="1:16" x14ac:dyDescent="0.35">
      <c r="A163" s="8" t="s">
        <v>191</v>
      </c>
      <c r="B163" s="8" t="s">
        <v>10</v>
      </c>
      <c r="C163" s="8" t="s">
        <v>56</v>
      </c>
      <c r="D163" s="8" t="s">
        <v>213</v>
      </c>
      <c r="E163" s="8" t="s">
        <v>219</v>
      </c>
      <c r="F163" s="9">
        <v>67000000</v>
      </c>
      <c r="G163" s="10">
        <v>70</v>
      </c>
      <c r="H163" s="8" t="s">
        <v>237</v>
      </c>
      <c r="I163" s="10">
        <v>220</v>
      </c>
      <c r="J163" s="8" t="s">
        <v>239</v>
      </c>
      <c r="K163" s="8" t="s">
        <v>239</v>
      </c>
      <c r="L163" s="10">
        <v>250</v>
      </c>
      <c r="M163" s="13">
        <v>5</v>
      </c>
      <c r="N163" s="10">
        <v>95000000000</v>
      </c>
      <c r="O163" s="15">
        <f t="shared" si="4"/>
        <v>-30</v>
      </c>
      <c r="P163" s="15">
        <f t="shared" si="5"/>
        <v>1417.9104477611941</v>
      </c>
    </row>
    <row r="164" spans="1:16" x14ac:dyDescent="0.35">
      <c r="A164" s="8" t="s">
        <v>192</v>
      </c>
      <c r="B164" s="8" t="s">
        <v>4</v>
      </c>
      <c r="C164" s="8" t="s">
        <v>51</v>
      </c>
      <c r="D164" s="8" t="s">
        <v>216</v>
      </c>
      <c r="E164" s="8" t="s">
        <v>222</v>
      </c>
      <c r="F164" s="9">
        <v>71000000</v>
      </c>
      <c r="G164" s="10">
        <v>250</v>
      </c>
      <c r="H164" s="8" t="s">
        <v>221</v>
      </c>
      <c r="I164" s="10">
        <v>720</v>
      </c>
      <c r="J164" s="8" t="s">
        <v>221</v>
      </c>
      <c r="K164" s="8" t="s">
        <v>221</v>
      </c>
      <c r="L164" s="10">
        <v>650</v>
      </c>
      <c r="M164" s="13">
        <v>2</v>
      </c>
      <c r="N164" s="10">
        <v>620000000000</v>
      </c>
      <c r="O164" s="15">
        <f t="shared" si="4"/>
        <v>70</v>
      </c>
      <c r="P164" s="15">
        <f t="shared" si="5"/>
        <v>8732.3943661971825</v>
      </c>
    </row>
    <row r="165" spans="1:16" x14ac:dyDescent="0.35">
      <c r="A165" s="8" t="s">
        <v>193</v>
      </c>
      <c r="B165" s="8" t="s">
        <v>10</v>
      </c>
      <c r="C165" s="8" t="s">
        <v>42</v>
      </c>
      <c r="D165" s="8" t="s">
        <v>213</v>
      </c>
      <c r="E165" s="8" t="s">
        <v>219</v>
      </c>
      <c r="F165" s="9">
        <v>9000000</v>
      </c>
      <c r="G165" s="10">
        <v>60</v>
      </c>
      <c r="H165" s="8" t="s">
        <v>237</v>
      </c>
      <c r="I165" s="10">
        <v>160</v>
      </c>
      <c r="J165" s="8" t="s">
        <v>239</v>
      </c>
      <c r="K165" s="8" t="s">
        <v>239</v>
      </c>
      <c r="L165" s="10">
        <v>220</v>
      </c>
      <c r="M165" s="13">
        <v>4</v>
      </c>
      <c r="N165" s="10">
        <v>16000000000</v>
      </c>
      <c r="O165" s="15">
        <f t="shared" si="4"/>
        <v>-60</v>
      </c>
      <c r="P165" s="15">
        <f t="shared" si="5"/>
        <v>1777.7777777777778</v>
      </c>
    </row>
    <row r="166" spans="1:16" x14ac:dyDescent="0.35">
      <c r="A166" s="8" t="s">
        <v>194</v>
      </c>
      <c r="B166" s="8" t="s">
        <v>19</v>
      </c>
      <c r="C166" s="8" t="s">
        <v>20</v>
      </c>
      <c r="D166" s="8" t="s">
        <v>216</v>
      </c>
      <c r="E166" s="8" t="s">
        <v>222</v>
      </c>
      <c r="F166" s="9">
        <v>1500000</v>
      </c>
      <c r="G166" s="10">
        <v>700</v>
      </c>
      <c r="H166" s="8" t="s">
        <v>220</v>
      </c>
      <c r="I166" s="10">
        <v>1800</v>
      </c>
      <c r="J166" s="8" t="s">
        <v>224</v>
      </c>
      <c r="K166" s="8" t="s">
        <v>220</v>
      </c>
      <c r="L166" s="10">
        <v>1800</v>
      </c>
      <c r="M166" s="13">
        <v>4</v>
      </c>
      <c r="N166" s="10">
        <v>26000000000</v>
      </c>
      <c r="O166" s="15">
        <f t="shared" si="4"/>
        <v>0</v>
      </c>
      <c r="P166" s="15">
        <f t="shared" si="5"/>
        <v>17333.333333333332</v>
      </c>
    </row>
    <row r="167" spans="1:16" x14ac:dyDescent="0.35">
      <c r="A167" s="8" t="s">
        <v>195</v>
      </c>
      <c r="B167" s="8" t="s">
        <v>10</v>
      </c>
      <c r="C167" s="8" t="s">
        <v>11</v>
      </c>
      <c r="D167" s="8" t="s">
        <v>214</v>
      </c>
      <c r="E167" s="8" t="s">
        <v>220</v>
      </c>
      <c r="F167" s="9">
        <v>12000000</v>
      </c>
      <c r="G167" s="10">
        <v>250</v>
      </c>
      <c r="H167" s="8" t="s">
        <v>221</v>
      </c>
      <c r="I167" s="10">
        <v>640</v>
      </c>
      <c r="J167" s="8" t="s">
        <v>239</v>
      </c>
      <c r="K167" s="8" t="s">
        <v>221</v>
      </c>
      <c r="L167" s="10">
        <v>500</v>
      </c>
      <c r="M167" s="13">
        <v>4</v>
      </c>
      <c r="N167" s="10">
        <v>60000000000</v>
      </c>
      <c r="O167" s="15">
        <f t="shared" si="4"/>
        <v>140</v>
      </c>
      <c r="P167" s="15">
        <f t="shared" si="5"/>
        <v>5000</v>
      </c>
    </row>
    <row r="168" spans="1:16" x14ac:dyDescent="0.35">
      <c r="A168" s="8" t="s">
        <v>196</v>
      </c>
      <c r="B168" s="8" t="s">
        <v>4</v>
      </c>
      <c r="C168" s="8" t="s">
        <v>25</v>
      </c>
      <c r="D168" s="8" t="s">
        <v>216</v>
      </c>
      <c r="E168" s="8" t="s">
        <v>222</v>
      </c>
      <c r="F168" s="9">
        <v>86000000</v>
      </c>
      <c r="G168" s="10">
        <v>600</v>
      </c>
      <c r="H168" s="8" t="s">
        <v>224</v>
      </c>
      <c r="I168" s="10">
        <v>1350</v>
      </c>
      <c r="J168" s="8" t="s">
        <v>221</v>
      </c>
      <c r="K168" s="8" t="s">
        <v>224</v>
      </c>
      <c r="L168" s="10">
        <v>900</v>
      </c>
      <c r="M168" s="13">
        <v>38</v>
      </c>
      <c r="N168" s="10">
        <v>1150000000000</v>
      </c>
      <c r="O168" s="15">
        <f t="shared" si="4"/>
        <v>450</v>
      </c>
      <c r="P168" s="15">
        <f t="shared" si="5"/>
        <v>13372.093023255815</v>
      </c>
    </row>
    <row r="169" spans="1:16" x14ac:dyDescent="0.35">
      <c r="A169" s="8" t="s">
        <v>197</v>
      </c>
      <c r="B169" s="8" t="s">
        <v>4</v>
      </c>
      <c r="C169" s="8" t="s">
        <v>124</v>
      </c>
      <c r="D169" s="8" t="s">
        <v>214</v>
      </c>
      <c r="E169" s="8" t="s">
        <v>220</v>
      </c>
      <c r="F169" s="9">
        <v>7000000</v>
      </c>
      <c r="G169" s="10">
        <v>200</v>
      </c>
      <c r="H169" s="8" t="s">
        <v>237</v>
      </c>
      <c r="I169" s="10">
        <v>480</v>
      </c>
      <c r="J169" s="8" t="s">
        <v>239</v>
      </c>
      <c r="K169" s="8" t="s">
        <v>239</v>
      </c>
      <c r="L169" s="10">
        <v>300</v>
      </c>
      <c r="M169" s="13">
        <v>5</v>
      </c>
      <c r="N169" s="10">
        <v>65000000000</v>
      </c>
      <c r="O169" s="15">
        <f t="shared" si="4"/>
        <v>180</v>
      </c>
      <c r="P169" s="15">
        <f t="shared" si="5"/>
        <v>9285.7142857142862</v>
      </c>
    </row>
    <row r="170" spans="1:16" x14ac:dyDescent="0.35">
      <c r="A170" s="8" t="s">
        <v>198</v>
      </c>
      <c r="B170" s="8" t="s">
        <v>10</v>
      </c>
      <c r="C170" s="8" t="s">
        <v>56</v>
      </c>
      <c r="D170" s="8" t="s">
        <v>213</v>
      </c>
      <c r="E170" s="8" t="s">
        <v>219</v>
      </c>
      <c r="F170" s="9">
        <v>50000000</v>
      </c>
      <c r="G170" s="10">
        <v>60</v>
      </c>
      <c r="H170" s="8" t="s">
        <v>237</v>
      </c>
      <c r="I170" s="10">
        <v>220</v>
      </c>
      <c r="J170" s="8" t="s">
        <v>239</v>
      </c>
      <c r="K170" s="8" t="s">
        <v>239</v>
      </c>
      <c r="L170" s="10">
        <v>220</v>
      </c>
      <c r="M170" s="13">
        <v>5</v>
      </c>
      <c r="N170" s="10">
        <v>85000000000</v>
      </c>
      <c r="O170" s="15">
        <f t="shared" si="4"/>
        <v>0</v>
      </c>
      <c r="P170" s="15">
        <f t="shared" si="5"/>
        <v>1700</v>
      </c>
    </row>
    <row r="171" spans="1:16" x14ac:dyDescent="0.35">
      <c r="A171" s="8" t="s">
        <v>199</v>
      </c>
      <c r="B171" s="8" t="s">
        <v>7</v>
      </c>
      <c r="C171" s="8" t="s">
        <v>37</v>
      </c>
      <c r="D171" s="8" t="s">
        <v>214</v>
      </c>
      <c r="E171" s="8" t="s">
        <v>220</v>
      </c>
      <c r="F171" s="9">
        <v>36000000</v>
      </c>
      <c r="G171" s="10">
        <v>200</v>
      </c>
      <c r="H171" s="8" t="s">
        <v>221</v>
      </c>
      <c r="I171" s="10">
        <v>560</v>
      </c>
      <c r="J171" s="8" t="s">
        <v>239</v>
      </c>
      <c r="K171" s="8" t="s">
        <v>221</v>
      </c>
      <c r="L171" s="10">
        <v>450</v>
      </c>
      <c r="M171" s="13">
        <v>7</v>
      </c>
      <c r="N171" s="10">
        <v>240000000000</v>
      </c>
      <c r="O171" s="15">
        <f t="shared" si="4"/>
        <v>110</v>
      </c>
      <c r="P171" s="15">
        <f t="shared" si="5"/>
        <v>6666.666666666667</v>
      </c>
    </row>
    <row r="172" spans="1:16" x14ac:dyDescent="0.35">
      <c r="A172" s="8" t="s">
        <v>200</v>
      </c>
      <c r="B172" s="8" t="s">
        <v>4</v>
      </c>
      <c r="C172" s="8" t="s">
        <v>25</v>
      </c>
      <c r="D172" s="8" t="s">
        <v>215</v>
      </c>
      <c r="E172" s="8" t="s">
        <v>221</v>
      </c>
      <c r="F172" s="9">
        <v>10000000</v>
      </c>
      <c r="G172" s="10">
        <v>1500</v>
      </c>
      <c r="H172" s="8" t="s">
        <v>219</v>
      </c>
      <c r="I172" s="10">
        <v>5000</v>
      </c>
      <c r="J172" s="8" t="s">
        <v>219</v>
      </c>
      <c r="K172" s="8" t="s">
        <v>220</v>
      </c>
      <c r="L172" s="10">
        <v>2800</v>
      </c>
      <c r="M172" s="13">
        <v>2</v>
      </c>
      <c r="N172" s="10">
        <v>610000000000</v>
      </c>
      <c r="O172" s="15">
        <f t="shared" si="4"/>
        <v>2200</v>
      </c>
      <c r="P172" s="15">
        <f t="shared" si="5"/>
        <v>61000</v>
      </c>
    </row>
    <row r="173" spans="1:16" x14ac:dyDescent="0.35">
      <c r="A173" s="8" t="s">
        <v>201</v>
      </c>
      <c r="B173" s="8" t="s">
        <v>7</v>
      </c>
      <c r="C173" s="8" t="s">
        <v>80</v>
      </c>
      <c r="D173" s="8" t="s">
        <v>215</v>
      </c>
      <c r="E173" s="8" t="s">
        <v>221</v>
      </c>
      <c r="F173" s="9">
        <v>68000000</v>
      </c>
      <c r="G173" s="10">
        <v>2000</v>
      </c>
      <c r="H173" s="8" t="s">
        <v>219</v>
      </c>
      <c r="I173" s="10">
        <v>4700</v>
      </c>
      <c r="J173" s="8" t="s">
        <v>219</v>
      </c>
      <c r="K173" s="8" t="s">
        <v>219</v>
      </c>
      <c r="L173" s="10">
        <v>3200</v>
      </c>
      <c r="M173" s="13">
        <v>3</v>
      </c>
      <c r="N173" s="10">
        <v>3100000000000</v>
      </c>
      <c r="O173" s="15">
        <f t="shared" si="4"/>
        <v>1500</v>
      </c>
      <c r="P173" s="15">
        <f t="shared" si="5"/>
        <v>45588.23529411765</v>
      </c>
    </row>
    <row r="174" spans="1:16" x14ac:dyDescent="0.35">
      <c r="A174" s="8" t="s">
        <v>202</v>
      </c>
      <c r="B174" s="8" t="s">
        <v>19</v>
      </c>
      <c r="C174" s="8" t="s">
        <v>60</v>
      </c>
      <c r="D174" s="8" t="s">
        <v>215</v>
      </c>
      <c r="E174" s="8" t="s">
        <v>221</v>
      </c>
      <c r="F174" s="9">
        <v>340000000</v>
      </c>
      <c r="G174" s="10">
        <v>1250</v>
      </c>
      <c r="H174" s="8" t="s">
        <v>219</v>
      </c>
      <c r="I174" s="10">
        <v>5000</v>
      </c>
      <c r="J174" s="8" t="s">
        <v>219</v>
      </c>
      <c r="K174" s="8" t="s">
        <v>219</v>
      </c>
      <c r="L174" s="10">
        <v>3500</v>
      </c>
      <c r="M174" s="13">
        <v>3</v>
      </c>
      <c r="N174" s="10">
        <v>29000000000000</v>
      </c>
      <c r="O174" s="15">
        <f t="shared" si="4"/>
        <v>1500</v>
      </c>
      <c r="P174" s="15">
        <f t="shared" si="5"/>
        <v>85294.117647058825</v>
      </c>
    </row>
    <row r="175" spans="1:16" x14ac:dyDescent="0.35">
      <c r="A175" s="8" t="s">
        <v>203</v>
      </c>
      <c r="B175" s="8" t="s">
        <v>23</v>
      </c>
      <c r="C175" s="8" t="s">
        <v>23</v>
      </c>
      <c r="D175" s="8" t="s">
        <v>215</v>
      </c>
      <c r="E175" s="8" t="s">
        <v>221</v>
      </c>
      <c r="F175" s="9">
        <v>3500000</v>
      </c>
      <c r="G175" s="10">
        <v>600</v>
      </c>
      <c r="H175" s="8" t="s">
        <v>224</v>
      </c>
      <c r="I175" s="10">
        <v>1500</v>
      </c>
      <c r="J175" s="8" t="s">
        <v>224</v>
      </c>
      <c r="K175" s="8" t="s">
        <v>220</v>
      </c>
      <c r="L175" s="10">
        <v>1600</v>
      </c>
      <c r="M175" s="13">
        <v>4</v>
      </c>
      <c r="N175" s="10">
        <v>90000000000</v>
      </c>
      <c r="O175" s="15">
        <f t="shared" si="4"/>
        <v>-100</v>
      </c>
      <c r="P175" s="15">
        <f t="shared" si="5"/>
        <v>25714.285714285714</v>
      </c>
    </row>
    <row r="176" spans="1:16" x14ac:dyDescent="0.35">
      <c r="A176" s="8" t="s">
        <v>204</v>
      </c>
      <c r="B176" s="8" t="s">
        <v>4</v>
      </c>
      <c r="C176" s="8" t="s">
        <v>124</v>
      </c>
      <c r="D176" s="8" t="s">
        <v>214</v>
      </c>
      <c r="E176" s="8" t="s">
        <v>220</v>
      </c>
      <c r="F176" s="9">
        <v>36000000</v>
      </c>
      <c r="G176" s="10">
        <v>120</v>
      </c>
      <c r="H176" s="8" t="s">
        <v>221</v>
      </c>
      <c r="I176" s="10">
        <v>360</v>
      </c>
      <c r="J176" s="8" t="s">
        <v>239</v>
      </c>
      <c r="K176" s="8" t="s">
        <v>239</v>
      </c>
      <c r="L176" s="10">
        <v>320</v>
      </c>
      <c r="M176" s="13">
        <v>6</v>
      </c>
      <c r="N176" s="10">
        <v>130000000000</v>
      </c>
      <c r="O176" s="15">
        <f t="shared" si="4"/>
        <v>40</v>
      </c>
      <c r="P176" s="15">
        <f t="shared" si="5"/>
        <v>3611.1111111111113</v>
      </c>
    </row>
    <row r="177" spans="1:16" x14ac:dyDescent="0.35">
      <c r="A177" s="8" t="s">
        <v>205</v>
      </c>
      <c r="B177" s="8" t="s">
        <v>23</v>
      </c>
      <c r="C177" s="8" t="s">
        <v>23</v>
      </c>
      <c r="D177" s="8" t="s">
        <v>214</v>
      </c>
      <c r="E177" s="8" t="s">
        <v>220</v>
      </c>
      <c r="F177" s="9">
        <v>28000000</v>
      </c>
      <c r="G177" s="10">
        <v>5</v>
      </c>
      <c r="H177" s="8" t="s">
        <v>237</v>
      </c>
      <c r="I177" s="10">
        <v>30</v>
      </c>
      <c r="J177" s="8" t="s">
        <v>239</v>
      </c>
      <c r="K177" s="8" t="s">
        <v>239</v>
      </c>
      <c r="L177" s="10">
        <v>250</v>
      </c>
      <c r="M177" s="13">
        <v>200</v>
      </c>
      <c r="N177" s="10">
        <v>130000000000</v>
      </c>
      <c r="O177" s="15">
        <f t="shared" si="4"/>
        <v>-220</v>
      </c>
      <c r="P177" s="15">
        <f t="shared" si="5"/>
        <v>4642.8571428571431</v>
      </c>
    </row>
    <row r="178" spans="1:16" x14ac:dyDescent="0.35">
      <c r="A178" s="8" t="s">
        <v>206</v>
      </c>
      <c r="B178" s="8" t="s">
        <v>4</v>
      </c>
      <c r="C178" s="8" t="s">
        <v>51</v>
      </c>
      <c r="D178" s="8" t="s">
        <v>214</v>
      </c>
      <c r="E178" s="8" t="s">
        <v>220</v>
      </c>
      <c r="F178" s="9">
        <v>100000000</v>
      </c>
      <c r="G178" s="10">
        <v>180</v>
      </c>
      <c r="H178" s="8" t="s">
        <v>221</v>
      </c>
      <c r="I178" s="10">
        <v>560</v>
      </c>
      <c r="J178" s="8" t="s">
        <v>239</v>
      </c>
      <c r="K178" s="8" t="s">
        <v>221</v>
      </c>
      <c r="L178" s="10">
        <v>450</v>
      </c>
      <c r="M178" s="13">
        <v>4</v>
      </c>
      <c r="N178" s="10">
        <v>550000000000</v>
      </c>
      <c r="O178" s="15">
        <f t="shared" si="4"/>
        <v>110</v>
      </c>
      <c r="P178" s="15">
        <f t="shared" si="5"/>
        <v>5500</v>
      </c>
    </row>
    <row r="179" spans="1:16" x14ac:dyDescent="0.35">
      <c r="A179" s="8" t="s">
        <v>207</v>
      </c>
      <c r="B179" s="8" t="s">
        <v>4</v>
      </c>
      <c r="C179" s="8" t="s">
        <v>25</v>
      </c>
      <c r="D179" s="8" t="s">
        <v>213</v>
      </c>
      <c r="E179" s="8" t="s">
        <v>219</v>
      </c>
      <c r="F179" s="9">
        <v>5000000</v>
      </c>
      <c r="G179" s="10">
        <v>400</v>
      </c>
      <c r="H179" s="8" t="s">
        <v>224</v>
      </c>
      <c r="I179" s="10">
        <v>720</v>
      </c>
      <c r="J179" s="8" t="s">
        <v>221</v>
      </c>
      <c r="K179" s="8" t="s">
        <v>221</v>
      </c>
      <c r="L179" s="10">
        <v>600</v>
      </c>
      <c r="M179" s="13">
        <v>4</v>
      </c>
      <c r="N179" s="10">
        <v>18000000000</v>
      </c>
      <c r="O179" s="15">
        <f t="shared" si="4"/>
        <v>120</v>
      </c>
      <c r="P179" s="15">
        <f t="shared" si="5"/>
        <v>3600</v>
      </c>
    </row>
    <row r="180" spans="1:16" x14ac:dyDescent="0.35">
      <c r="A180" s="8" t="s">
        <v>208</v>
      </c>
      <c r="B180" s="8" t="s">
        <v>10</v>
      </c>
      <c r="C180" s="8" t="s">
        <v>11</v>
      </c>
      <c r="D180" s="8" t="s">
        <v>213</v>
      </c>
      <c r="E180" s="8" t="s">
        <v>219</v>
      </c>
      <c r="F180" s="9">
        <v>600000</v>
      </c>
      <c r="G180" s="10">
        <v>0</v>
      </c>
      <c r="H180" s="8" t="s">
        <v>237</v>
      </c>
      <c r="I180" s="10">
        <v>0</v>
      </c>
      <c r="J180" s="8" t="s">
        <v>239</v>
      </c>
      <c r="K180" s="8" t="s">
        <v>239</v>
      </c>
      <c r="L180" s="10">
        <v>200</v>
      </c>
      <c r="M180" s="13">
        <v>4</v>
      </c>
      <c r="N180" s="10">
        <v>3000000000</v>
      </c>
      <c r="O180" s="15">
        <f t="shared" si="4"/>
        <v>-200</v>
      </c>
      <c r="P180" s="15">
        <f t="shared" si="5"/>
        <v>5000</v>
      </c>
    </row>
    <row r="181" spans="1:16" x14ac:dyDescent="0.35">
      <c r="A181" s="8" t="s">
        <v>209</v>
      </c>
      <c r="B181" s="8" t="s">
        <v>4</v>
      </c>
      <c r="C181" s="8" t="s">
        <v>25</v>
      </c>
      <c r="D181" s="8" t="s">
        <v>213</v>
      </c>
      <c r="E181" s="8" t="s">
        <v>219</v>
      </c>
      <c r="F181" s="9">
        <v>34000000</v>
      </c>
      <c r="G181" s="10">
        <v>30</v>
      </c>
      <c r="H181" s="8" t="s">
        <v>237</v>
      </c>
      <c r="I181" s="10">
        <v>90</v>
      </c>
      <c r="J181" s="8" t="s">
        <v>239</v>
      </c>
      <c r="K181" s="8" t="s">
        <v>239</v>
      </c>
      <c r="L181" s="10">
        <v>180</v>
      </c>
      <c r="M181" s="13">
        <v>30</v>
      </c>
      <c r="N181" s="10">
        <v>28000000000</v>
      </c>
      <c r="O181" s="15">
        <f t="shared" si="4"/>
        <v>-90</v>
      </c>
      <c r="P181" s="15">
        <f t="shared" si="5"/>
        <v>823.52941176470586</v>
      </c>
    </row>
    <row r="182" spans="1:16" x14ac:dyDescent="0.35">
      <c r="A182" s="8" t="s">
        <v>210</v>
      </c>
      <c r="B182" s="8" t="s">
        <v>10</v>
      </c>
      <c r="C182" s="8" t="s">
        <v>48</v>
      </c>
      <c r="D182" s="8" t="s">
        <v>213</v>
      </c>
      <c r="E182" s="8" t="s">
        <v>219</v>
      </c>
      <c r="F182" s="9">
        <v>21000000</v>
      </c>
      <c r="G182" s="10">
        <v>80</v>
      </c>
      <c r="H182" s="8" t="s">
        <v>237</v>
      </c>
      <c r="I182" s="10">
        <v>240</v>
      </c>
      <c r="J182" s="8" t="s">
        <v>239</v>
      </c>
      <c r="K182" s="8" t="s">
        <v>239</v>
      </c>
      <c r="L182" s="10">
        <v>300</v>
      </c>
      <c r="M182" s="13">
        <v>8</v>
      </c>
      <c r="N182" s="10">
        <v>38000000000</v>
      </c>
      <c r="O182" s="15">
        <f t="shared" si="4"/>
        <v>-60</v>
      </c>
      <c r="P182" s="15">
        <f t="shared" si="5"/>
        <v>1809.5238095238096</v>
      </c>
    </row>
    <row r="183" spans="1:16" x14ac:dyDescent="0.35">
      <c r="A183" s="8" t="s">
        <v>211</v>
      </c>
      <c r="B183" s="8" t="s">
        <v>10</v>
      </c>
      <c r="C183" s="8" t="s">
        <v>48</v>
      </c>
      <c r="D183" s="8" t="s">
        <v>213</v>
      </c>
      <c r="E183" s="8" t="s">
        <v>219</v>
      </c>
      <c r="F183" s="9">
        <v>17000000</v>
      </c>
      <c r="G183" s="10">
        <v>100</v>
      </c>
      <c r="H183" s="8" t="s">
        <v>237</v>
      </c>
      <c r="I183" s="10">
        <v>280</v>
      </c>
      <c r="J183" s="8" t="s">
        <v>239</v>
      </c>
      <c r="K183" s="8" t="s">
        <v>239</v>
      </c>
      <c r="L183" s="10">
        <v>250</v>
      </c>
      <c r="M183" s="13">
        <v>90</v>
      </c>
      <c r="N183" s="10">
        <v>32000000000</v>
      </c>
      <c r="O183" s="15">
        <f t="shared" si="4"/>
        <v>30</v>
      </c>
      <c r="P183" s="15">
        <f t="shared" si="5"/>
        <v>1882.3529411764705</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5"/>
  </sheetPr>
  <dimension ref="A1:P183"/>
  <sheetViews>
    <sheetView workbookViewId="0">
      <selection activeCell="D7" sqref="D7"/>
    </sheetView>
  </sheetViews>
  <sheetFormatPr defaultRowHeight="21" x14ac:dyDescent="0.35"/>
  <cols>
    <col min="1" max="1" width="37.42578125" bestFit="1" customWidth="1"/>
    <col min="2" max="2" width="19.42578125" bestFit="1" customWidth="1"/>
    <col min="3" max="3" width="32" bestFit="1" customWidth="1"/>
    <col min="4" max="4" width="27.28515625" bestFit="1" customWidth="1"/>
    <col min="5" max="5" width="29.85546875" customWidth="1"/>
    <col min="6" max="6" width="19.42578125" bestFit="1" customWidth="1"/>
    <col min="7" max="7" width="29" customWidth="1"/>
    <col min="8" max="8" width="28.85546875" bestFit="1" customWidth="1"/>
    <col min="9" max="9" width="41.42578125" customWidth="1"/>
    <col min="10" max="10" width="30.140625" customWidth="1"/>
    <col min="11" max="11" width="28.140625" customWidth="1"/>
    <col min="12" max="12" width="46.7109375" customWidth="1"/>
    <col min="13" max="13" width="38.85546875" customWidth="1"/>
    <col min="14" max="14" width="32.28515625" style="3" bestFit="1" customWidth="1"/>
    <col min="15" max="15" width="26.42578125" style="11" customWidth="1"/>
    <col min="16" max="16" width="21.7109375" style="11" customWidth="1"/>
  </cols>
  <sheetData>
    <row r="1" spans="1:16" x14ac:dyDescent="0.25">
      <c r="A1" s="23" t="s">
        <v>0</v>
      </c>
      <c r="B1" s="24" t="s">
        <v>1</v>
      </c>
      <c r="C1" s="24" t="s">
        <v>2</v>
      </c>
      <c r="D1" s="24" t="s">
        <v>212</v>
      </c>
      <c r="E1" s="24" t="s">
        <v>218</v>
      </c>
      <c r="F1" s="25" t="s">
        <v>223</v>
      </c>
      <c r="G1" s="19" t="s">
        <v>225</v>
      </c>
      <c r="H1" s="23" t="s">
        <v>236</v>
      </c>
      <c r="I1" s="30" t="s">
        <v>229</v>
      </c>
      <c r="J1" s="24" t="s">
        <v>238</v>
      </c>
      <c r="K1" s="24" t="s">
        <v>240</v>
      </c>
      <c r="L1" s="30" t="s">
        <v>233</v>
      </c>
      <c r="M1" s="31" t="s">
        <v>234</v>
      </c>
      <c r="N1" s="32" t="s">
        <v>241</v>
      </c>
      <c r="O1" s="30" t="s">
        <v>242</v>
      </c>
      <c r="P1" s="33" t="s">
        <v>243</v>
      </c>
    </row>
    <row r="2" spans="1:16" x14ac:dyDescent="0.35">
      <c r="A2" s="21" t="s">
        <v>3</v>
      </c>
      <c r="B2" s="8" t="s">
        <v>4</v>
      </c>
      <c r="C2" s="8" t="s">
        <v>5</v>
      </c>
      <c r="D2" s="8" t="s">
        <v>213</v>
      </c>
      <c r="E2" s="8" t="s">
        <v>219</v>
      </c>
      <c r="F2" s="22">
        <v>42000000</v>
      </c>
      <c r="G2" s="18">
        <v>50</v>
      </c>
      <c r="H2" s="21" t="s">
        <v>244</v>
      </c>
      <c r="I2" s="10">
        <v>90</v>
      </c>
      <c r="J2" s="8" t="s">
        <v>239</v>
      </c>
      <c r="K2" s="8" t="s">
        <v>239</v>
      </c>
      <c r="L2" s="10">
        <v>180</v>
      </c>
      <c r="M2" s="13">
        <v>10</v>
      </c>
      <c r="N2" s="10">
        <v>20000000000</v>
      </c>
      <c r="O2" s="15">
        <f>I2-L2</f>
        <v>-90</v>
      </c>
      <c r="P2" s="29">
        <f>N2/F2</f>
        <v>476.1904761904762</v>
      </c>
    </row>
    <row r="3" spans="1:16" x14ac:dyDescent="0.35">
      <c r="A3" s="21" t="s">
        <v>6</v>
      </c>
      <c r="B3" s="8" t="s">
        <v>7</v>
      </c>
      <c r="C3" s="8" t="s">
        <v>8</v>
      </c>
      <c r="D3" s="8" t="s">
        <v>214</v>
      </c>
      <c r="E3" s="8" t="s">
        <v>220</v>
      </c>
      <c r="F3" s="22">
        <v>2800000</v>
      </c>
      <c r="G3" s="18">
        <v>320</v>
      </c>
      <c r="H3" s="21" t="s">
        <v>224</v>
      </c>
      <c r="I3" s="10">
        <v>680</v>
      </c>
      <c r="J3" s="8" t="s">
        <v>221</v>
      </c>
      <c r="K3" s="8" t="s">
        <v>221</v>
      </c>
      <c r="L3" s="10">
        <v>520</v>
      </c>
      <c r="M3" s="13">
        <v>4</v>
      </c>
      <c r="N3" s="10">
        <v>28000000000</v>
      </c>
      <c r="O3" s="15">
        <f t="shared" ref="O3:O66" si="0">I3-L3</f>
        <v>160</v>
      </c>
      <c r="P3" s="29">
        <f>N3/F3</f>
        <v>10000</v>
      </c>
    </row>
    <row r="4" spans="1:16" x14ac:dyDescent="0.35">
      <c r="A4" s="21" t="s">
        <v>9</v>
      </c>
      <c r="B4" s="8" t="s">
        <v>10</v>
      </c>
      <c r="C4" s="8" t="s">
        <v>11</v>
      </c>
      <c r="D4" s="8" t="s">
        <v>214</v>
      </c>
      <c r="E4" s="8" t="s">
        <v>220</v>
      </c>
      <c r="F4" s="22">
        <v>46000000</v>
      </c>
      <c r="G4" s="18">
        <v>150</v>
      </c>
      <c r="H4" s="21" t="s">
        <v>221</v>
      </c>
      <c r="I4" s="10">
        <v>520</v>
      </c>
      <c r="J4" s="8" t="s">
        <v>221</v>
      </c>
      <c r="K4" s="8" t="s">
        <v>221</v>
      </c>
      <c r="L4" s="10">
        <v>450</v>
      </c>
      <c r="M4" s="13">
        <v>5</v>
      </c>
      <c r="N4" s="10">
        <v>260000000000</v>
      </c>
      <c r="O4" s="15">
        <f t="shared" si="0"/>
        <v>70</v>
      </c>
      <c r="P4" s="29">
        <f t="shared" ref="P4:P67" si="1">N4/F4</f>
        <v>5652.173913043478</v>
      </c>
    </row>
    <row r="5" spans="1:16" x14ac:dyDescent="0.35">
      <c r="A5" s="21" t="s">
        <v>12</v>
      </c>
      <c r="B5" s="8" t="s">
        <v>13</v>
      </c>
      <c r="C5" s="8" t="s">
        <v>14</v>
      </c>
      <c r="D5" s="8" t="s">
        <v>214</v>
      </c>
      <c r="E5" s="8" t="s">
        <v>220</v>
      </c>
      <c r="F5" s="22">
        <v>50000</v>
      </c>
      <c r="G5" s="18">
        <v>1200</v>
      </c>
      <c r="H5" s="21" t="s">
        <v>220</v>
      </c>
      <c r="I5" s="10">
        <v>2900</v>
      </c>
      <c r="J5" s="8" t="s">
        <v>220</v>
      </c>
      <c r="K5" s="8" t="s">
        <v>220</v>
      </c>
      <c r="L5" s="10">
        <v>1800</v>
      </c>
      <c r="M5" s="13">
        <v>3</v>
      </c>
      <c r="N5" s="10">
        <v>1000000000</v>
      </c>
      <c r="O5" s="15">
        <f t="shared" si="0"/>
        <v>1100</v>
      </c>
      <c r="P5" s="29">
        <f t="shared" si="1"/>
        <v>20000</v>
      </c>
    </row>
    <row r="6" spans="1:16" x14ac:dyDescent="0.35">
      <c r="A6" s="21" t="s">
        <v>15</v>
      </c>
      <c r="B6" s="8" t="s">
        <v>7</v>
      </c>
      <c r="C6" s="8" t="s">
        <v>8</v>
      </c>
      <c r="D6" s="8" t="s">
        <v>215</v>
      </c>
      <c r="E6" s="8" t="s">
        <v>221</v>
      </c>
      <c r="F6" s="22">
        <v>80000</v>
      </c>
      <c r="G6" s="18">
        <v>1600</v>
      </c>
      <c r="H6" s="21" t="s">
        <v>219</v>
      </c>
      <c r="I6" s="10">
        <v>3200</v>
      </c>
      <c r="J6" s="8" t="s">
        <v>220</v>
      </c>
      <c r="K6" s="8" t="s">
        <v>219</v>
      </c>
      <c r="L6" s="10">
        <v>2200</v>
      </c>
      <c r="M6" s="13">
        <v>3</v>
      </c>
      <c r="N6" s="10">
        <v>3000000000</v>
      </c>
      <c r="O6" s="15">
        <f t="shared" si="0"/>
        <v>1000</v>
      </c>
      <c r="P6" s="29">
        <f t="shared" si="1"/>
        <v>37500</v>
      </c>
    </row>
    <row r="7" spans="1:16" x14ac:dyDescent="0.35">
      <c r="A7" s="21" t="s">
        <v>16</v>
      </c>
      <c r="B7" s="8" t="s">
        <v>10</v>
      </c>
      <c r="C7" s="8" t="s">
        <v>17</v>
      </c>
      <c r="D7" s="8" t="s">
        <v>213</v>
      </c>
      <c r="E7" s="8" t="s">
        <v>219</v>
      </c>
      <c r="F7" s="22">
        <v>36000000</v>
      </c>
      <c r="G7" s="18">
        <v>70</v>
      </c>
      <c r="H7" s="21" t="s">
        <v>244</v>
      </c>
      <c r="I7" s="10">
        <v>210</v>
      </c>
      <c r="J7" s="8" t="s">
        <v>239</v>
      </c>
      <c r="K7" s="8" t="s">
        <v>221</v>
      </c>
      <c r="L7" s="10">
        <v>500</v>
      </c>
      <c r="M7" s="13">
        <v>20</v>
      </c>
      <c r="N7" s="10">
        <v>115000000000</v>
      </c>
      <c r="O7" s="15">
        <f t="shared" si="0"/>
        <v>-290</v>
      </c>
      <c r="P7" s="29">
        <f t="shared" si="1"/>
        <v>3194.4444444444443</v>
      </c>
    </row>
    <row r="8" spans="1:16" x14ac:dyDescent="0.35">
      <c r="A8" s="21" t="s">
        <v>18</v>
      </c>
      <c r="B8" s="8" t="s">
        <v>19</v>
      </c>
      <c r="C8" s="8" t="s">
        <v>20</v>
      </c>
      <c r="D8" s="8" t="s">
        <v>214</v>
      </c>
      <c r="E8" s="8" t="s">
        <v>220</v>
      </c>
      <c r="F8" s="22">
        <v>15000</v>
      </c>
      <c r="G8" s="18">
        <v>1000</v>
      </c>
      <c r="H8" s="21" t="s">
        <v>220</v>
      </c>
      <c r="I8" s="10">
        <v>2600</v>
      </c>
      <c r="J8" s="8" t="s">
        <v>220</v>
      </c>
      <c r="K8" s="8" t="s">
        <v>220</v>
      </c>
      <c r="L8" s="10">
        <v>2200</v>
      </c>
      <c r="M8" s="13">
        <v>3</v>
      </c>
      <c r="N8" s="10">
        <v>1000000000</v>
      </c>
      <c r="O8" s="15">
        <f t="shared" si="0"/>
        <v>400</v>
      </c>
      <c r="P8" s="29">
        <f t="shared" si="1"/>
        <v>66666.666666666672</v>
      </c>
    </row>
    <row r="9" spans="1:16" x14ac:dyDescent="0.35">
      <c r="A9" s="21" t="s">
        <v>21</v>
      </c>
      <c r="B9" s="8" t="s">
        <v>19</v>
      </c>
      <c r="C9" s="8" t="s">
        <v>20</v>
      </c>
      <c r="D9" s="8" t="s">
        <v>216</v>
      </c>
      <c r="E9" s="8" t="s">
        <v>222</v>
      </c>
      <c r="F9" s="22">
        <v>100000</v>
      </c>
      <c r="G9" s="18">
        <v>600</v>
      </c>
      <c r="H9" s="21" t="s">
        <v>224</v>
      </c>
      <c r="I9" s="10">
        <v>1900</v>
      </c>
      <c r="J9" s="8" t="s">
        <v>224</v>
      </c>
      <c r="K9" s="8" t="s">
        <v>220</v>
      </c>
      <c r="L9" s="10">
        <v>2000</v>
      </c>
      <c r="M9" s="13">
        <v>4</v>
      </c>
      <c r="N9" s="10">
        <v>2000000000</v>
      </c>
      <c r="O9" s="15">
        <f t="shared" si="0"/>
        <v>-100</v>
      </c>
      <c r="P9" s="29">
        <f t="shared" si="1"/>
        <v>20000</v>
      </c>
    </row>
    <row r="10" spans="1:16" x14ac:dyDescent="0.35">
      <c r="A10" s="21" t="s">
        <v>22</v>
      </c>
      <c r="B10" s="8" t="s">
        <v>23</v>
      </c>
      <c r="C10" s="8" t="s">
        <v>23</v>
      </c>
      <c r="D10" s="8" t="s">
        <v>216</v>
      </c>
      <c r="E10" s="8" t="s">
        <v>222</v>
      </c>
      <c r="F10" s="22">
        <v>46000000</v>
      </c>
      <c r="G10" s="18">
        <v>200</v>
      </c>
      <c r="H10" s="21" t="s">
        <v>221</v>
      </c>
      <c r="I10" s="10">
        <v>640</v>
      </c>
      <c r="J10" s="8" t="s">
        <v>221</v>
      </c>
      <c r="K10" s="8" t="s">
        <v>224</v>
      </c>
      <c r="L10" s="10">
        <v>650</v>
      </c>
      <c r="M10" s="13">
        <v>30</v>
      </c>
      <c r="N10" s="10">
        <v>620000000000</v>
      </c>
      <c r="O10" s="15">
        <f t="shared" si="0"/>
        <v>-10</v>
      </c>
      <c r="P10" s="29">
        <f t="shared" si="1"/>
        <v>13478.260869565218</v>
      </c>
    </row>
    <row r="11" spans="1:16" x14ac:dyDescent="0.35">
      <c r="A11" s="21" t="s">
        <v>24</v>
      </c>
      <c r="B11" s="8" t="s">
        <v>4</v>
      </c>
      <c r="C11" s="8" t="s">
        <v>25</v>
      </c>
      <c r="D11" s="8" t="s">
        <v>214</v>
      </c>
      <c r="E11" s="8" t="s">
        <v>220</v>
      </c>
      <c r="F11" s="22">
        <v>3000000</v>
      </c>
      <c r="G11" s="18">
        <v>300</v>
      </c>
      <c r="H11" s="21" t="s">
        <v>224</v>
      </c>
      <c r="I11" s="10">
        <v>720</v>
      </c>
      <c r="J11" s="8" t="s">
        <v>221</v>
      </c>
      <c r="K11" s="8" t="s">
        <v>221</v>
      </c>
      <c r="L11" s="10">
        <v>500</v>
      </c>
      <c r="M11" s="13">
        <v>4</v>
      </c>
      <c r="N11" s="10">
        <v>28000000000</v>
      </c>
      <c r="O11" s="15">
        <f t="shared" si="0"/>
        <v>220</v>
      </c>
      <c r="P11" s="29">
        <f t="shared" si="1"/>
        <v>9333.3333333333339</v>
      </c>
    </row>
    <row r="12" spans="1:16" x14ac:dyDescent="0.35">
      <c r="A12" s="21" t="s">
        <v>26</v>
      </c>
      <c r="B12" s="8" t="s">
        <v>19</v>
      </c>
      <c r="C12" s="8" t="s">
        <v>20</v>
      </c>
      <c r="D12" s="8" t="s">
        <v>216</v>
      </c>
      <c r="E12" s="8" t="s">
        <v>222</v>
      </c>
      <c r="F12" s="22">
        <v>110000</v>
      </c>
      <c r="G12" s="18">
        <v>900</v>
      </c>
      <c r="H12" s="21" t="s">
        <v>220</v>
      </c>
      <c r="I12" s="10">
        <v>2400</v>
      </c>
      <c r="J12" s="8" t="s">
        <v>220</v>
      </c>
      <c r="K12" s="8" t="s">
        <v>219</v>
      </c>
      <c r="L12" s="10">
        <v>2400</v>
      </c>
      <c r="M12" s="13">
        <v>4</v>
      </c>
      <c r="N12" s="10">
        <v>4000000000</v>
      </c>
      <c r="O12" s="15">
        <f t="shared" si="0"/>
        <v>0</v>
      </c>
      <c r="P12" s="29">
        <f t="shared" si="1"/>
        <v>36363.63636363636</v>
      </c>
    </row>
    <row r="13" spans="1:16" x14ac:dyDescent="0.35">
      <c r="A13" s="21" t="s">
        <v>27</v>
      </c>
      <c r="B13" s="8" t="s">
        <v>13</v>
      </c>
      <c r="C13" s="8" t="s">
        <v>28</v>
      </c>
      <c r="D13" s="8" t="s">
        <v>215</v>
      </c>
      <c r="E13" s="8" t="s">
        <v>221</v>
      </c>
      <c r="F13" s="22">
        <v>26000000</v>
      </c>
      <c r="G13" s="18">
        <v>2600</v>
      </c>
      <c r="H13" s="21" t="s">
        <v>219</v>
      </c>
      <c r="I13" s="10">
        <v>5000</v>
      </c>
      <c r="J13" s="8" t="s">
        <v>219</v>
      </c>
      <c r="K13" s="8" t="s">
        <v>219</v>
      </c>
      <c r="L13" s="10">
        <v>2800</v>
      </c>
      <c r="M13" s="13">
        <v>3</v>
      </c>
      <c r="N13" s="10">
        <v>1800000000000</v>
      </c>
      <c r="O13" s="15">
        <f t="shared" si="0"/>
        <v>2200</v>
      </c>
      <c r="P13" s="29">
        <f t="shared" si="1"/>
        <v>69230.769230769234</v>
      </c>
    </row>
    <row r="14" spans="1:16" x14ac:dyDescent="0.35">
      <c r="A14" s="21" t="s">
        <v>29</v>
      </c>
      <c r="B14" s="8" t="s">
        <v>7</v>
      </c>
      <c r="C14" s="8" t="s">
        <v>30</v>
      </c>
      <c r="D14" s="8" t="s">
        <v>215</v>
      </c>
      <c r="E14" s="8" t="s">
        <v>221</v>
      </c>
      <c r="F14" s="22">
        <v>9000000</v>
      </c>
      <c r="G14" s="18">
        <v>0</v>
      </c>
      <c r="H14" s="21" t="s">
        <v>219</v>
      </c>
      <c r="I14" s="10">
        <v>4300</v>
      </c>
      <c r="J14" s="8" t="s">
        <v>220</v>
      </c>
      <c r="K14" s="8" t="s">
        <v>219</v>
      </c>
      <c r="L14" s="10">
        <v>2700</v>
      </c>
      <c r="M14" s="13">
        <v>3</v>
      </c>
      <c r="N14" s="10">
        <v>690000000000</v>
      </c>
      <c r="O14" s="15">
        <f t="shared" si="0"/>
        <v>1600</v>
      </c>
      <c r="P14" s="29">
        <f t="shared" si="1"/>
        <v>76666.666666666672</v>
      </c>
    </row>
    <row r="15" spans="1:16" x14ac:dyDescent="0.35">
      <c r="A15" s="21" t="s">
        <v>31</v>
      </c>
      <c r="B15" s="8" t="s">
        <v>4</v>
      </c>
      <c r="C15" s="8" t="s">
        <v>25</v>
      </c>
      <c r="D15" s="8" t="s">
        <v>214</v>
      </c>
      <c r="E15" s="8" t="s">
        <v>220</v>
      </c>
      <c r="F15" s="22">
        <v>10000000</v>
      </c>
      <c r="G15" s="18">
        <v>200</v>
      </c>
      <c r="H15" s="21" t="s">
        <v>221</v>
      </c>
      <c r="I15" s="10">
        <v>560</v>
      </c>
      <c r="J15" s="8" t="s">
        <v>221</v>
      </c>
      <c r="K15" s="8" t="s">
        <v>221</v>
      </c>
      <c r="L15" s="10">
        <v>420</v>
      </c>
      <c r="M15" s="13">
        <v>5</v>
      </c>
      <c r="N15" s="10">
        <v>85000000000</v>
      </c>
      <c r="O15" s="15">
        <f t="shared" si="0"/>
        <v>140</v>
      </c>
      <c r="P15" s="29">
        <f t="shared" si="1"/>
        <v>8500</v>
      </c>
    </row>
    <row r="16" spans="1:16" x14ac:dyDescent="0.35">
      <c r="A16" s="21" t="s">
        <v>32</v>
      </c>
      <c r="B16" s="8" t="s">
        <v>19</v>
      </c>
      <c r="C16" s="8" t="s">
        <v>20</v>
      </c>
      <c r="D16" s="8" t="s">
        <v>216</v>
      </c>
      <c r="E16" s="8" t="s">
        <v>222</v>
      </c>
      <c r="F16" s="22">
        <v>400000</v>
      </c>
      <c r="G16" s="18">
        <v>900</v>
      </c>
      <c r="H16" s="21" t="s">
        <v>220</v>
      </c>
      <c r="I16" s="10">
        <v>2900</v>
      </c>
      <c r="J16" s="8" t="s">
        <v>220</v>
      </c>
      <c r="K16" s="8" t="s">
        <v>219</v>
      </c>
      <c r="L16" s="10">
        <v>2500</v>
      </c>
      <c r="M16" s="13">
        <v>4</v>
      </c>
      <c r="N16" s="10">
        <v>14000000000</v>
      </c>
      <c r="O16" s="15">
        <f t="shared" si="0"/>
        <v>400</v>
      </c>
      <c r="P16" s="29">
        <f t="shared" si="1"/>
        <v>35000</v>
      </c>
    </row>
    <row r="17" spans="1:16" x14ac:dyDescent="0.35">
      <c r="A17" s="21" t="s">
        <v>33</v>
      </c>
      <c r="B17" s="8" t="s">
        <v>4</v>
      </c>
      <c r="C17" s="8" t="s">
        <v>25</v>
      </c>
      <c r="D17" s="8" t="s">
        <v>215</v>
      </c>
      <c r="E17" s="8" t="s">
        <v>221</v>
      </c>
      <c r="F17" s="22">
        <v>1700000</v>
      </c>
      <c r="G17" s="18">
        <v>1000</v>
      </c>
      <c r="H17" s="21" t="s">
        <v>220</v>
      </c>
      <c r="I17" s="10">
        <v>3200</v>
      </c>
      <c r="J17" s="8" t="s">
        <v>220</v>
      </c>
      <c r="K17" s="8" t="s">
        <v>220</v>
      </c>
      <c r="L17" s="10">
        <v>1800</v>
      </c>
      <c r="M17" s="13">
        <v>2</v>
      </c>
      <c r="N17" s="10">
        <v>60000000000</v>
      </c>
      <c r="O17" s="15">
        <f t="shared" si="0"/>
        <v>1400</v>
      </c>
      <c r="P17" s="29">
        <f t="shared" si="1"/>
        <v>35294.117647058825</v>
      </c>
    </row>
    <row r="18" spans="1:16" x14ac:dyDescent="0.35">
      <c r="A18" s="21" t="s">
        <v>34</v>
      </c>
      <c r="B18" s="8" t="s">
        <v>4</v>
      </c>
      <c r="C18" s="8" t="s">
        <v>5</v>
      </c>
      <c r="D18" s="8" t="s">
        <v>214</v>
      </c>
      <c r="E18" s="8" t="s">
        <v>220</v>
      </c>
      <c r="F18" s="22">
        <v>173000000</v>
      </c>
      <c r="G18" s="18">
        <v>75</v>
      </c>
      <c r="H18" s="21" t="s">
        <v>244</v>
      </c>
      <c r="I18" s="10">
        <v>260</v>
      </c>
      <c r="J18" s="8" t="s">
        <v>239</v>
      </c>
      <c r="K18" s="8" t="s">
        <v>239</v>
      </c>
      <c r="L18" s="10">
        <v>220</v>
      </c>
      <c r="M18" s="13">
        <v>8</v>
      </c>
      <c r="N18" s="10">
        <v>560000000000</v>
      </c>
      <c r="O18" s="15">
        <f t="shared" si="0"/>
        <v>40</v>
      </c>
      <c r="P18" s="29">
        <f t="shared" si="1"/>
        <v>3236.9942196531792</v>
      </c>
    </row>
    <row r="19" spans="1:16" x14ac:dyDescent="0.35">
      <c r="A19" s="21" t="s">
        <v>35</v>
      </c>
      <c r="B19" s="8" t="s">
        <v>19</v>
      </c>
      <c r="C19" s="8" t="s">
        <v>20</v>
      </c>
      <c r="D19" s="8" t="s">
        <v>216</v>
      </c>
      <c r="E19" s="8" t="s">
        <v>222</v>
      </c>
      <c r="F19" s="22">
        <v>280000</v>
      </c>
      <c r="G19" s="18">
        <v>700</v>
      </c>
      <c r="H19" s="21" t="s">
        <v>220</v>
      </c>
      <c r="I19" s="10">
        <v>2200</v>
      </c>
      <c r="J19" s="8" t="s">
        <v>220</v>
      </c>
      <c r="K19" s="8" t="s">
        <v>220</v>
      </c>
      <c r="L19" s="10">
        <v>2100</v>
      </c>
      <c r="M19" s="13">
        <v>4</v>
      </c>
      <c r="N19" s="10">
        <v>7000000000</v>
      </c>
      <c r="O19" s="15">
        <f t="shared" si="0"/>
        <v>100</v>
      </c>
      <c r="P19" s="29">
        <f t="shared" si="1"/>
        <v>25000</v>
      </c>
    </row>
    <row r="20" spans="1:16" x14ac:dyDescent="0.35">
      <c r="A20" s="21" t="s">
        <v>36</v>
      </c>
      <c r="B20" s="8" t="s">
        <v>7</v>
      </c>
      <c r="C20" s="8" t="s">
        <v>37</v>
      </c>
      <c r="D20" s="8" t="s">
        <v>214</v>
      </c>
      <c r="E20" s="8" t="s">
        <v>220</v>
      </c>
      <c r="F20" s="22">
        <v>9200000</v>
      </c>
      <c r="G20" s="18">
        <v>250</v>
      </c>
      <c r="H20" s="21" t="s">
        <v>221</v>
      </c>
      <c r="I20" s="10">
        <v>700</v>
      </c>
      <c r="J20" s="8" t="s">
        <v>221</v>
      </c>
      <c r="K20" s="8" t="s">
        <v>221</v>
      </c>
      <c r="L20" s="10">
        <v>450</v>
      </c>
      <c r="M20" s="13">
        <v>6</v>
      </c>
      <c r="N20" s="10">
        <v>85000000000</v>
      </c>
      <c r="O20" s="15">
        <f t="shared" si="0"/>
        <v>250</v>
      </c>
      <c r="P20" s="29">
        <f t="shared" si="1"/>
        <v>9239.1304347826081</v>
      </c>
    </row>
    <row r="21" spans="1:16" x14ac:dyDescent="0.35">
      <c r="A21" s="21" t="s">
        <v>38</v>
      </c>
      <c r="B21" s="8" t="s">
        <v>7</v>
      </c>
      <c r="C21" s="8" t="s">
        <v>30</v>
      </c>
      <c r="D21" s="8" t="s">
        <v>215</v>
      </c>
      <c r="E21" s="8" t="s">
        <v>221</v>
      </c>
      <c r="F21" s="22">
        <v>11700000</v>
      </c>
      <c r="G21" s="18">
        <v>2000</v>
      </c>
      <c r="H21" s="21" t="s">
        <v>219</v>
      </c>
      <c r="I21" s="10">
        <v>3900</v>
      </c>
      <c r="J21" s="8" t="s">
        <v>219</v>
      </c>
      <c r="K21" s="8" t="s">
        <v>219</v>
      </c>
      <c r="L21" s="10">
        <v>2600</v>
      </c>
      <c r="M21" s="13">
        <v>3</v>
      </c>
      <c r="N21" s="10">
        <v>780000000000</v>
      </c>
      <c r="O21" s="15">
        <f t="shared" si="0"/>
        <v>1300</v>
      </c>
      <c r="P21" s="29">
        <f t="shared" si="1"/>
        <v>66666.666666666672</v>
      </c>
    </row>
    <row r="22" spans="1:16" x14ac:dyDescent="0.35">
      <c r="A22" s="21" t="s">
        <v>39</v>
      </c>
      <c r="B22" s="8" t="s">
        <v>19</v>
      </c>
      <c r="C22" s="8" t="s">
        <v>40</v>
      </c>
      <c r="D22" s="8" t="s">
        <v>214</v>
      </c>
      <c r="E22" s="8" t="s">
        <v>220</v>
      </c>
      <c r="F22" s="22">
        <v>430000</v>
      </c>
      <c r="G22" s="18">
        <v>350</v>
      </c>
      <c r="H22" s="21" t="s">
        <v>224</v>
      </c>
      <c r="I22" s="10">
        <v>1050</v>
      </c>
      <c r="J22" s="8" t="s">
        <v>224</v>
      </c>
      <c r="K22" s="8" t="s">
        <v>224</v>
      </c>
      <c r="L22" s="10">
        <v>700</v>
      </c>
      <c r="M22" s="13">
        <v>5</v>
      </c>
      <c r="N22" s="10">
        <v>3500000000</v>
      </c>
      <c r="O22" s="15">
        <f t="shared" si="0"/>
        <v>350</v>
      </c>
      <c r="P22" s="29">
        <f t="shared" si="1"/>
        <v>8139.5348837209303</v>
      </c>
    </row>
    <row r="23" spans="1:16" x14ac:dyDescent="0.35">
      <c r="A23" s="21" t="s">
        <v>41</v>
      </c>
      <c r="B23" s="8" t="s">
        <v>10</v>
      </c>
      <c r="C23" s="8" t="s">
        <v>42</v>
      </c>
      <c r="D23" s="8" t="s">
        <v>213</v>
      </c>
      <c r="E23" s="8" t="s">
        <v>219</v>
      </c>
      <c r="F23" s="22">
        <v>14000000</v>
      </c>
      <c r="G23" s="18">
        <v>80</v>
      </c>
      <c r="H23" s="21" t="s">
        <v>244</v>
      </c>
      <c r="I23" s="10">
        <v>250</v>
      </c>
      <c r="J23" s="8" t="s">
        <v>239</v>
      </c>
      <c r="K23" s="8" t="s">
        <v>239</v>
      </c>
      <c r="L23" s="10">
        <v>250</v>
      </c>
      <c r="M23" s="13">
        <v>3</v>
      </c>
      <c r="N23" s="10">
        <v>27000000000</v>
      </c>
      <c r="O23" s="15">
        <f t="shared" si="0"/>
        <v>0</v>
      </c>
      <c r="P23" s="29">
        <f t="shared" si="1"/>
        <v>1928.5714285714287</v>
      </c>
    </row>
    <row r="24" spans="1:16" x14ac:dyDescent="0.35">
      <c r="A24" s="21" t="s">
        <v>43</v>
      </c>
      <c r="B24" s="8" t="s">
        <v>19</v>
      </c>
      <c r="C24" s="8" t="s">
        <v>20</v>
      </c>
      <c r="D24" s="8" t="s">
        <v>215</v>
      </c>
      <c r="E24" s="8" t="s">
        <v>221</v>
      </c>
      <c r="F24" s="22">
        <v>64000</v>
      </c>
      <c r="G24" s="18">
        <v>1800</v>
      </c>
      <c r="H24" s="21" t="s">
        <v>219</v>
      </c>
      <c r="I24" s="10">
        <v>5500</v>
      </c>
      <c r="J24" s="8" t="s">
        <v>219</v>
      </c>
      <c r="K24" s="8" t="s">
        <v>219</v>
      </c>
      <c r="L24" s="10">
        <v>3500</v>
      </c>
      <c r="M24" s="13">
        <v>3</v>
      </c>
      <c r="N24" s="10">
        <v>6000000000</v>
      </c>
      <c r="O24" s="15">
        <f t="shared" si="0"/>
        <v>2000</v>
      </c>
      <c r="P24" s="29">
        <f t="shared" si="1"/>
        <v>93750</v>
      </c>
    </row>
    <row r="25" spans="1:16" x14ac:dyDescent="0.35">
      <c r="A25" s="21" t="s">
        <v>44</v>
      </c>
      <c r="B25" s="8" t="s">
        <v>4</v>
      </c>
      <c r="C25" s="8" t="s">
        <v>5</v>
      </c>
      <c r="D25" s="8" t="s">
        <v>214</v>
      </c>
      <c r="E25" s="8" t="s">
        <v>220</v>
      </c>
      <c r="F25" s="22">
        <v>800000</v>
      </c>
      <c r="G25" s="18">
        <v>150</v>
      </c>
      <c r="H25" s="21" t="s">
        <v>221</v>
      </c>
      <c r="I25" s="10">
        <v>400</v>
      </c>
      <c r="J25" s="8" t="s">
        <v>239</v>
      </c>
      <c r="K25" s="8" t="s">
        <v>239</v>
      </c>
      <c r="L25" s="10">
        <v>280</v>
      </c>
      <c r="M25" s="13">
        <v>4</v>
      </c>
      <c r="N25" s="10">
        <v>3500000000</v>
      </c>
      <c r="O25" s="15">
        <f t="shared" si="0"/>
        <v>120</v>
      </c>
      <c r="P25" s="29">
        <f t="shared" si="1"/>
        <v>4375</v>
      </c>
    </row>
    <row r="26" spans="1:16" x14ac:dyDescent="0.35">
      <c r="A26" s="21" t="s">
        <v>45</v>
      </c>
      <c r="B26" s="8" t="s">
        <v>23</v>
      </c>
      <c r="C26" s="8" t="s">
        <v>23</v>
      </c>
      <c r="D26" s="8" t="s">
        <v>214</v>
      </c>
      <c r="E26" s="8" t="s">
        <v>220</v>
      </c>
      <c r="F26" s="22">
        <v>12500000</v>
      </c>
      <c r="G26" s="18">
        <v>350</v>
      </c>
      <c r="H26" s="21" t="s">
        <v>224</v>
      </c>
      <c r="I26" s="10">
        <v>720</v>
      </c>
      <c r="J26" s="8" t="s">
        <v>221</v>
      </c>
      <c r="K26" s="8" t="s">
        <v>239</v>
      </c>
      <c r="L26" s="10">
        <v>350</v>
      </c>
      <c r="M26" s="13">
        <v>4</v>
      </c>
      <c r="N26" s="10">
        <v>75000000000</v>
      </c>
      <c r="O26" s="15">
        <f t="shared" si="0"/>
        <v>370</v>
      </c>
      <c r="P26" s="29">
        <f t="shared" si="1"/>
        <v>6000</v>
      </c>
    </row>
    <row r="27" spans="1:16" x14ac:dyDescent="0.35">
      <c r="A27" s="21" t="s">
        <v>46</v>
      </c>
      <c r="B27" s="8" t="s">
        <v>7</v>
      </c>
      <c r="C27" s="8" t="s">
        <v>8</v>
      </c>
      <c r="D27" s="8" t="s">
        <v>214</v>
      </c>
      <c r="E27" s="8" t="s">
        <v>220</v>
      </c>
      <c r="F27" s="22">
        <v>3200000</v>
      </c>
      <c r="G27" s="18">
        <v>400</v>
      </c>
      <c r="H27" s="21" t="s">
        <v>224</v>
      </c>
      <c r="I27" s="10">
        <v>900</v>
      </c>
      <c r="J27" s="8" t="s">
        <v>221</v>
      </c>
      <c r="K27" s="8" t="s">
        <v>221</v>
      </c>
      <c r="L27" s="10">
        <v>600</v>
      </c>
      <c r="M27" s="13">
        <v>4</v>
      </c>
      <c r="N27" s="10">
        <v>50000000000</v>
      </c>
      <c r="O27" s="15">
        <f t="shared" si="0"/>
        <v>300</v>
      </c>
      <c r="P27" s="29">
        <f t="shared" si="1"/>
        <v>15625</v>
      </c>
    </row>
    <row r="28" spans="1:16" x14ac:dyDescent="0.35">
      <c r="A28" s="21" t="s">
        <v>47</v>
      </c>
      <c r="B28" s="8" t="s">
        <v>10</v>
      </c>
      <c r="C28" s="8" t="s">
        <v>48</v>
      </c>
      <c r="D28" s="8" t="s">
        <v>214</v>
      </c>
      <c r="E28" s="8" t="s">
        <v>220</v>
      </c>
      <c r="F28" s="22">
        <v>2700000</v>
      </c>
      <c r="G28" s="18">
        <v>300</v>
      </c>
      <c r="H28" s="21" t="s">
        <v>224</v>
      </c>
      <c r="I28" s="10">
        <v>950</v>
      </c>
      <c r="J28" s="8" t="s">
        <v>221</v>
      </c>
      <c r="K28" s="8" t="s">
        <v>221</v>
      </c>
      <c r="L28" s="10">
        <v>550</v>
      </c>
      <c r="M28" s="13">
        <v>5</v>
      </c>
      <c r="N28" s="10">
        <v>20000000000</v>
      </c>
      <c r="O28" s="15">
        <f t="shared" si="0"/>
        <v>400</v>
      </c>
      <c r="P28" s="29">
        <f t="shared" si="1"/>
        <v>7407.4074074074078</v>
      </c>
    </row>
    <row r="29" spans="1:16" x14ac:dyDescent="0.35">
      <c r="A29" s="21" t="s">
        <v>49</v>
      </c>
      <c r="B29" s="8" t="s">
        <v>23</v>
      </c>
      <c r="C29" s="8" t="s">
        <v>23</v>
      </c>
      <c r="D29" s="8" t="s">
        <v>216</v>
      </c>
      <c r="E29" s="8" t="s">
        <v>222</v>
      </c>
      <c r="F29" s="22">
        <v>216000000</v>
      </c>
      <c r="G29" s="18">
        <v>280</v>
      </c>
      <c r="H29" s="21" t="s">
        <v>224</v>
      </c>
      <c r="I29" s="10">
        <v>720</v>
      </c>
      <c r="J29" s="8" t="s">
        <v>221</v>
      </c>
      <c r="K29" s="8" t="s">
        <v>224</v>
      </c>
      <c r="L29" s="10">
        <v>800</v>
      </c>
      <c r="M29" s="13">
        <v>4</v>
      </c>
      <c r="N29" s="10">
        <v>2400000000000</v>
      </c>
      <c r="O29" s="15">
        <f t="shared" si="0"/>
        <v>-80</v>
      </c>
      <c r="P29" s="29">
        <f t="shared" si="1"/>
        <v>11111.111111111111</v>
      </c>
    </row>
    <row r="30" spans="1:16" x14ac:dyDescent="0.35">
      <c r="A30" s="21" t="s">
        <v>50</v>
      </c>
      <c r="B30" s="8" t="s">
        <v>4</v>
      </c>
      <c r="C30" s="8" t="s">
        <v>51</v>
      </c>
      <c r="D30" s="8" t="s">
        <v>215</v>
      </c>
      <c r="E30" s="8" t="s">
        <v>221</v>
      </c>
      <c r="F30" s="22">
        <v>450000</v>
      </c>
      <c r="G30" s="18">
        <v>900</v>
      </c>
      <c r="H30" s="21" t="s">
        <v>220</v>
      </c>
      <c r="I30" s="10">
        <v>3200</v>
      </c>
      <c r="J30" s="8" t="s">
        <v>220</v>
      </c>
      <c r="K30" s="8" t="s">
        <v>224</v>
      </c>
      <c r="L30" s="10">
        <v>1600</v>
      </c>
      <c r="M30" s="13">
        <v>1</v>
      </c>
      <c r="N30" s="10">
        <v>16000000000</v>
      </c>
      <c r="O30" s="15">
        <f t="shared" si="0"/>
        <v>1600</v>
      </c>
      <c r="P30" s="29">
        <f t="shared" si="1"/>
        <v>35555.555555555555</v>
      </c>
    </row>
    <row r="31" spans="1:16" x14ac:dyDescent="0.35">
      <c r="A31" s="21" t="s">
        <v>52</v>
      </c>
      <c r="B31" s="8" t="s">
        <v>7</v>
      </c>
      <c r="C31" s="8" t="s">
        <v>37</v>
      </c>
      <c r="D31" s="8" t="s">
        <v>217</v>
      </c>
      <c r="E31" s="8" t="s">
        <v>222</v>
      </c>
      <c r="F31" s="22">
        <v>6400000</v>
      </c>
      <c r="G31" s="18">
        <v>600</v>
      </c>
      <c r="H31" s="21" t="s">
        <v>220</v>
      </c>
      <c r="I31" s="10">
        <v>1350</v>
      </c>
      <c r="J31" s="8" t="s">
        <v>221</v>
      </c>
      <c r="K31" s="8" t="s">
        <v>221</v>
      </c>
      <c r="L31" s="10">
        <v>650</v>
      </c>
      <c r="M31" s="13">
        <v>4</v>
      </c>
      <c r="N31" s="10">
        <v>135000000000</v>
      </c>
      <c r="O31" s="15">
        <f t="shared" si="0"/>
        <v>700</v>
      </c>
      <c r="P31" s="29">
        <f t="shared" si="1"/>
        <v>21093.75</v>
      </c>
    </row>
    <row r="32" spans="1:16" x14ac:dyDescent="0.35">
      <c r="A32" s="21" t="s">
        <v>53</v>
      </c>
      <c r="B32" s="8" t="s">
        <v>10</v>
      </c>
      <c r="C32" s="8" t="s">
        <v>42</v>
      </c>
      <c r="D32" s="8" t="s">
        <v>213</v>
      </c>
      <c r="E32" s="8" t="s">
        <v>219</v>
      </c>
      <c r="F32" s="22">
        <v>23000000</v>
      </c>
      <c r="G32" s="18">
        <v>70</v>
      </c>
      <c r="H32" s="21" t="s">
        <v>244</v>
      </c>
      <c r="I32" s="10">
        <v>210</v>
      </c>
      <c r="J32" s="8" t="s">
        <v>239</v>
      </c>
      <c r="K32" s="8" t="s">
        <v>239</v>
      </c>
      <c r="L32" s="10">
        <v>220</v>
      </c>
      <c r="M32" s="13">
        <v>3</v>
      </c>
      <c r="N32" s="10">
        <v>23000000000</v>
      </c>
      <c r="O32" s="15">
        <f t="shared" si="0"/>
        <v>-10</v>
      </c>
      <c r="P32" s="29">
        <f t="shared" si="1"/>
        <v>1000</v>
      </c>
    </row>
    <row r="33" spans="1:16" x14ac:dyDescent="0.35">
      <c r="A33" s="21" t="s">
        <v>54</v>
      </c>
      <c r="B33" s="8" t="s">
        <v>4</v>
      </c>
      <c r="C33" s="8" t="s">
        <v>51</v>
      </c>
      <c r="D33" s="8" t="s">
        <v>213</v>
      </c>
      <c r="E33" s="8" t="s">
        <v>219</v>
      </c>
      <c r="F33" s="22">
        <v>55000000</v>
      </c>
      <c r="G33" s="18">
        <v>60</v>
      </c>
      <c r="H33" s="21" t="s">
        <v>244</v>
      </c>
      <c r="I33" s="10">
        <v>170</v>
      </c>
      <c r="J33" s="8" t="s">
        <v>239</v>
      </c>
      <c r="K33" s="8" t="s">
        <v>239</v>
      </c>
      <c r="L33" s="10">
        <v>200</v>
      </c>
      <c r="M33" s="13">
        <v>20</v>
      </c>
      <c r="N33" s="10">
        <v>70000000000</v>
      </c>
      <c r="O33" s="15">
        <f t="shared" si="0"/>
        <v>-30</v>
      </c>
      <c r="P33" s="29">
        <f t="shared" si="1"/>
        <v>1272.7272727272727</v>
      </c>
    </row>
    <row r="34" spans="1:16" x14ac:dyDescent="0.35">
      <c r="A34" s="21" t="s">
        <v>55</v>
      </c>
      <c r="B34" s="8" t="s">
        <v>10</v>
      </c>
      <c r="C34" s="8" t="s">
        <v>56</v>
      </c>
      <c r="D34" s="8" t="s">
        <v>213</v>
      </c>
      <c r="E34" s="8" t="s">
        <v>219</v>
      </c>
      <c r="F34" s="22">
        <v>13000000</v>
      </c>
      <c r="G34" s="18">
        <v>30</v>
      </c>
      <c r="H34" s="21" t="s">
        <v>244</v>
      </c>
      <c r="I34" s="10">
        <v>90</v>
      </c>
      <c r="J34" s="8" t="s">
        <v>239</v>
      </c>
      <c r="K34" s="8" t="s">
        <v>239</v>
      </c>
      <c r="L34" s="10">
        <v>180</v>
      </c>
      <c r="M34" s="13">
        <v>8</v>
      </c>
      <c r="N34" s="10">
        <v>12000000000</v>
      </c>
      <c r="O34" s="15">
        <f t="shared" si="0"/>
        <v>-90</v>
      </c>
      <c r="P34" s="29">
        <f t="shared" si="1"/>
        <v>923.07692307692309</v>
      </c>
    </row>
    <row r="35" spans="1:16" x14ac:dyDescent="0.35">
      <c r="A35" s="21" t="s">
        <v>57</v>
      </c>
      <c r="B35" s="8" t="s">
        <v>4</v>
      </c>
      <c r="C35" s="8" t="s">
        <v>51</v>
      </c>
      <c r="D35" s="8" t="s">
        <v>214</v>
      </c>
      <c r="E35" s="8" t="s">
        <v>220</v>
      </c>
      <c r="F35" s="22">
        <v>17000000</v>
      </c>
      <c r="G35" s="18">
        <v>200</v>
      </c>
      <c r="H35" s="21" t="s">
        <v>221</v>
      </c>
      <c r="I35" s="10">
        <v>360</v>
      </c>
      <c r="J35" s="8" t="s">
        <v>239</v>
      </c>
      <c r="K35" s="8" t="s">
        <v>221</v>
      </c>
      <c r="L35" s="10">
        <v>380</v>
      </c>
      <c r="M35" s="13">
        <v>4</v>
      </c>
      <c r="N35" s="10">
        <v>60000000000</v>
      </c>
      <c r="O35" s="15">
        <f t="shared" si="0"/>
        <v>-20</v>
      </c>
      <c r="P35" s="29">
        <f t="shared" si="1"/>
        <v>3529.4117647058824</v>
      </c>
    </row>
    <row r="36" spans="1:16" x14ac:dyDescent="0.35">
      <c r="A36" s="21" t="s">
        <v>58</v>
      </c>
      <c r="B36" s="8" t="s">
        <v>10</v>
      </c>
      <c r="C36" s="8" t="s">
        <v>17</v>
      </c>
      <c r="D36" s="8" t="s">
        <v>213</v>
      </c>
      <c r="E36" s="8" t="s">
        <v>219</v>
      </c>
      <c r="F36" s="22">
        <v>29000000</v>
      </c>
      <c r="G36" s="18">
        <v>75</v>
      </c>
      <c r="H36" s="21" t="s">
        <v>244</v>
      </c>
      <c r="I36" s="10">
        <v>240</v>
      </c>
      <c r="J36" s="8" t="s">
        <v>239</v>
      </c>
      <c r="K36" s="8" t="s">
        <v>221</v>
      </c>
      <c r="L36" s="10">
        <v>350</v>
      </c>
      <c r="M36" s="13">
        <v>5</v>
      </c>
      <c r="N36" s="10">
        <v>70000000000</v>
      </c>
      <c r="O36" s="15">
        <f t="shared" si="0"/>
        <v>-110</v>
      </c>
      <c r="P36" s="29">
        <f t="shared" si="1"/>
        <v>2413.7931034482758</v>
      </c>
    </row>
    <row r="37" spans="1:16" x14ac:dyDescent="0.35">
      <c r="A37" s="21" t="s">
        <v>59</v>
      </c>
      <c r="B37" s="8" t="s">
        <v>19</v>
      </c>
      <c r="C37" s="8" t="s">
        <v>60</v>
      </c>
      <c r="D37" s="8" t="s">
        <v>215</v>
      </c>
      <c r="E37" s="8" t="s">
        <v>221</v>
      </c>
      <c r="F37" s="22">
        <v>41000000</v>
      </c>
      <c r="G37" s="18">
        <v>2200</v>
      </c>
      <c r="H37" s="21" t="s">
        <v>219</v>
      </c>
      <c r="I37" s="10">
        <v>4500</v>
      </c>
      <c r="J37" s="8" t="s">
        <v>219</v>
      </c>
      <c r="K37" s="8" t="s">
        <v>219</v>
      </c>
      <c r="L37" s="10">
        <v>3000</v>
      </c>
      <c r="M37" s="13">
        <v>3</v>
      </c>
      <c r="N37" s="10">
        <v>2300000000000</v>
      </c>
      <c r="O37" s="15">
        <f t="shared" si="0"/>
        <v>1500</v>
      </c>
      <c r="P37" s="29">
        <f t="shared" si="1"/>
        <v>56097.560975609755</v>
      </c>
    </row>
    <row r="38" spans="1:16" x14ac:dyDescent="0.35">
      <c r="A38" s="21" t="s">
        <v>61</v>
      </c>
      <c r="B38" s="8" t="s">
        <v>10</v>
      </c>
      <c r="C38" s="8" t="s">
        <v>42</v>
      </c>
      <c r="D38" s="8" t="s">
        <v>214</v>
      </c>
      <c r="E38" s="8" t="s">
        <v>220</v>
      </c>
      <c r="F38" s="22">
        <v>600000</v>
      </c>
      <c r="G38" s="18">
        <v>250</v>
      </c>
      <c r="H38" s="21" t="s">
        <v>221</v>
      </c>
      <c r="I38" s="10">
        <v>720</v>
      </c>
      <c r="J38" s="8" t="s">
        <v>221</v>
      </c>
      <c r="K38" s="8" t="s">
        <v>221</v>
      </c>
      <c r="L38" s="10">
        <v>550</v>
      </c>
      <c r="M38" s="13">
        <v>3</v>
      </c>
      <c r="N38" s="10">
        <v>7000000000</v>
      </c>
      <c r="O38" s="15">
        <f t="shared" si="0"/>
        <v>170</v>
      </c>
      <c r="P38" s="29">
        <f t="shared" si="1"/>
        <v>11666.666666666666</v>
      </c>
    </row>
    <row r="39" spans="1:16" x14ac:dyDescent="0.35">
      <c r="A39" s="21" t="s">
        <v>62</v>
      </c>
      <c r="B39" s="8" t="s">
        <v>19</v>
      </c>
      <c r="C39" s="8" t="s">
        <v>20</v>
      </c>
      <c r="D39" s="8" t="s">
        <v>215</v>
      </c>
      <c r="E39" s="8" t="s">
        <v>221</v>
      </c>
      <c r="F39" s="22">
        <v>85000</v>
      </c>
      <c r="G39" s="18">
        <v>1600</v>
      </c>
      <c r="H39" s="21" t="s">
        <v>219</v>
      </c>
      <c r="I39" s="10">
        <v>4500</v>
      </c>
      <c r="J39" s="8" t="s">
        <v>219</v>
      </c>
      <c r="K39" s="8" t="s">
        <v>219</v>
      </c>
      <c r="L39" s="10">
        <v>3200</v>
      </c>
      <c r="M39" s="13">
        <v>3</v>
      </c>
      <c r="N39" s="10">
        <v>6000000000</v>
      </c>
      <c r="O39" s="15">
        <f t="shared" si="0"/>
        <v>1300</v>
      </c>
      <c r="P39" s="29">
        <f t="shared" si="1"/>
        <v>70588.23529411765</v>
      </c>
    </row>
    <row r="40" spans="1:16" x14ac:dyDescent="0.35">
      <c r="A40" s="21" t="s">
        <v>63</v>
      </c>
      <c r="B40" s="8" t="s">
        <v>10</v>
      </c>
      <c r="C40" s="8" t="s">
        <v>17</v>
      </c>
      <c r="D40" s="8" t="s">
        <v>213</v>
      </c>
      <c r="E40" s="8" t="s">
        <v>219</v>
      </c>
      <c r="F40" s="22">
        <v>5000000</v>
      </c>
      <c r="G40" s="18">
        <v>40</v>
      </c>
      <c r="H40" s="21" t="s">
        <v>244</v>
      </c>
      <c r="I40" s="10">
        <v>110</v>
      </c>
      <c r="J40" s="8" t="s">
        <v>239</v>
      </c>
      <c r="K40" s="8" t="s">
        <v>239</v>
      </c>
      <c r="L40" s="10">
        <v>200</v>
      </c>
      <c r="M40" s="13">
        <v>4</v>
      </c>
      <c r="N40" s="10">
        <v>4500000000</v>
      </c>
      <c r="O40" s="15">
        <f t="shared" si="0"/>
        <v>-90</v>
      </c>
      <c r="P40" s="29">
        <f t="shared" si="1"/>
        <v>900</v>
      </c>
    </row>
    <row r="41" spans="1:16" x14ac:dyDescent="0.35">
      <c r="A41" s="21" t="s">
        <v>64</v>
      </c>
      <c r="B41" s="8" t="s">
        <v>10</v>
      </c>
      <c r="C41" s="8" t="s">
        <v>17</v>
      </c>
      <c r="D41" s="8" t="s">
        <v>213</v>
      </c>
      <c r="E41" s="8" t="s">
        <v>219</v>
      </c>
      <c r="F41" s="22">
        <v>18000000</v>
      </c>
      <c r="G41" s="18">
        <v>50</v>
      </c>
      <c r="H41" s="21" t="s">
        <v>244</v>
      </c>
      <c r="I41" s="10">
        <v>130</v>
      </c>
      <c r="J41" s="8" t="s">
        <v>239</v>
      </c>
      <c r="K41" s="8" t="s">
        <v>239</v>
      </c>
      <c r="L41" s="10">
        <v>220</v>
      </c>
      <c r="M41" s="13">
        <v>4</v>
      </c>
      <c r="N41" s="10">
        <v>18000000000</v>
      </c>
      <c r="O41" s="15">
        <f t="shared" si="0"/>
        <v>-90</v>
      </c>
      <c r="P41" s="29">
        <f t="shared" si="1"/>
        <v>1000</v>
      </c>
    </row>
    <row r="42" spans="1:16" x14ac:dyDescent="0.35">
      <c r="A42" s="21" t="s">
        <v>65</v>
      </c>
      <c r="B42" s="8" t="s">
        <v>23</v>
      </c>
      <c r="C42" s="8" t="s">
        <v>23</v>
      </c>
      <c r="D42" s="8" t="s">
        <v>215</v>
      </c>
      <c r="E42" s="8" t="s">
        <v>221</v>
      </c>
      <c r="F42" s="22">
        <v>20000000</v>
      </c>
      <c r="G42" s="18">
        <v>550</v>
      </c>
      <c r="H42" s="21" t="s">
        <v>224</v>
      </c>
      <c r="I42" s="10">
        <v>1450</v>
      </c>
      <c r="J42" s="8" t="s">
        <v>224</v>
      </c>
      <c r="K42" s="8" t="s">
        <v>224</v>
      </c>
      <c r="L42" s="10">
        <v>950</v>
      </c>
      <c r="M42" s="13">
        <v>4</v>
      </c>
      <c r="N42" s="10">
        <v>360000000000</v>
      </c>
      <c r="O42" s="15">
        <f t="shared" si="0"/>
        <v>500</v>
      </c>
      <c r="P42" s="29">
        <f t="shared" si="1"/>
        <v>18000</v>
      </c>
    </row>
    <row r="43" spans="1:16" x14ac:dyDescent="0.35">
      <c r="A43" s="21" t="s">
        <v>66</v>
      </c>
      <c r="B43" s="8" t="s">
        <v>4</v>
      </c>
      <c r="C43" s="8" t="s">
        <v>67</v>
      </c>
      <c r="D43" s="8" t="s">
        <v>217</v>
      </c>
      <c r="E43" s="8" t="s">
        <v>222</v>
      </c>
      <c r="F43" s="22">
        <v>1410000000</v>
      </c>
      <c r="G43" s="18">
        <v>350</v>
      </c>
      <c r="H43" s="21" t="s">
        <v>224</v>
      </c>
      <c r="I43" s="10">
        <v>960</v>
      </c>
      <c r="J43" s="8" t="s">
        <v>221</v>
      </c>
      <c r="K43" s="8" t="s">
        <v>224</v>
      </c>
      <c r="L43" s="10">
        <v>900</v>
      </c>
      <c r="M43" s="13">
        <v>1</v>
      </c>
      <c r="N43" s="10">
        <v>18500000000000</v>
      </c>
      <c r="O43" s="15">
        <f t="shared" si="0"/>
        <v>60</v>
      </c>
      <c r="P43" s="29">
        <f t="shared" si="1"/>
        <v>13120.567375886525</v>
      </c>
    </row>
    <row r="44" spans="1:16" x14ac:dyDescent="0.35">
      <c r="A44" s="21" t="s">
        <v>68</v>
      </c>
      <c r="B44" s="8" t="s">
        <v>23</v>
      </c>
      <c r="C44" s="8" t="s">
        <v>23</v>
      </c>
      <c r="D44" s="8" t="s">
        <v>216</v>
      </c>
      <c r="E44" s="8" t="s">
        <v>222</v>
      </c>
      <c r="F44" s="22">
        <v>52000000</v>
      </c>
      <c r="G44" s="18">
        <v>350</v>
      </c>
      <c r="H44" s="21" t="s">
        <v>224</v>
      </c>
      <c r="I44" s="10">
        <v>880</v>
      </c>
      <c r="J44" s="8" t="s">
        <v>221</v>
      </c>
      <c r="K44" s="8" t="s">
        <v>224</v>
      </c>
      <c r="L44" s="10">
        <v>700</v>
      </c>
      <c r="M44" s="13">
        <v>6</v>
      </c>
      <c r="N44" s="10">
        <v>450000000000</v>
      </c>
      <c r="O44" s="15">
        <f t="shared" si="0"/>
        <v>180</v>
      </c>
      <c r="P44" s="29">
        <f t="shared" si="1"/>
        <v>8653.8461538461543</v>
      </c>
    </row>
    <row r="45" spans="1:16" x14ac:dyDescent="0.35">
      <c r="A45" s="21" t="s">
        <v>69</v>
      </c>
      <c r="B45" s="8" t="s">
        <v>10</v>
      </c>
      <c r="C45" s="8" t="s">
        <v>56</v>
      </c>
      <c r="D45" s="8" t="s">
        <v>213</v>
      </c>
      <c r="E45" s="8" t="s">
        <v>219</v>
      </c>
      <c r="F45" s="22">
        <v>900000</v>
      </c>
      <c r="G45" s="18">
        <v>60</v>
      </c>
      <c r="H45" s="21" t="s">
        <v>244</v>
      </c>
      <c r="I45" s="10">
        <v>160</v>
      </c>
      <c r="J45" s="8" t="s">
        <v>239</v>
      </c>
      <c r="K45" s="8" t="s">
        <v>239</v>
      </c>
      <c r="L45" s="10">
        <v>220</v>
      </c>
      <c r="M45" s="13">
        <v>3</v>
      </c>
      <c r="N45" s="10">
        <v>3000000000</v>
      </c>
      <c r="O45" s="15">
        <f t="shared" si="0"/>
        <v>-60</v>
      </c>
      <c r="P45" s="29">
        <f t="shared" si="1"/>
        <v>3333.3333333333335</v>
      </c>
    </row>
    <row r="46" spans="1:16" x14ac:dyDescent="0.35">
      <c r="A46" s="21" t="s">
        <v>70</v>
      </c>
      <c r="B46" s="8" t="s">
        <v>10</v>
      </c>
      <c r="C46" s="8" t="s">
        <v>17</v>
      </c>
      <c r="D46" s="8" t="s">
        <v>213</v>
      </c>
      <c r="E46" s="8" t="s">
        <v>219</v>
      </c>
      <c r="F46" s="22">
        <v>102000000</v>
      </c>
      <c r="G46" s="18">
        <v>60</v>
      </c>
      <c r="H46" s="21" t="s">
        <v>244</v>
      </c>
      <c r="I46" s="10">
        <v>140</v>
      </c>
      <c r="J46" s="8" t="s">
        <v>239</v>
      </c>
      <c r="K46" s="8" t="s">
        <v>239</v>
      </c>
      <c r="L46" s="10">
        <v>200</v>
      </c>
      <c r="M46" s="13">
        <v>8</v>
      </c>
      <c r="N46" s="10">
        <v>85000000000</v>
      </c>
      <c r="O46" s="15">
        <f t="shared" si="0"/>
        <v>-60</v>
      </c>
      <c r="P46" s="29">
        <f t="shared" si="1"/>
        <v>833.33333333333337</v>
      </c>
    </row>
    <row r="47" spans="1:16" x14ac:dyDescent="0.35">
      <c r="A47" s="21" t="s">
        <v>71</v>
      </c>
      <c r="B47" s="8" t="s">
        <v>10</v>
      </c>
      <c r="C47" s="8" t="s">
        <v>17</v>
      </c>
      <c r="D47" s="8" t="s">
        <v>213</v>
      </c>
      <c r="E47" s="8" t="s">
        <v>219</v>
      </c>
      <c r="F47" s="22">
        <v>6000000</v>
      </c>
      <c r="G47" s="18">
        <v>120</v>
      </c>
      <c r="H47" s="21" t="s">
        <v>221</v>
      </c>
      <c r="I47" s="10">
        <v>400</v>
      </c>
      <c r="J47" s="8" t="s">
        <v>239</v>
      </c>
      <c r="K47" s="8" t="s">
        <v>221</v>
      </c>
      <c r="L47" s="10">
        <v>450</v>
      </c>
      <c r="M47" s="13">
        <v>4</v>
      </c>
      <c r="N47" s="10">
        <v>22000000000</v>
      </c>
      <c r="O47" s="15">
        <f t="shared" si="0"/>
        <v>-50</v>
      </c>
      <c r="P47" s="29">
        <f t="shared" si="1"/>
        <v>3666.6666666666665</v>
      </c>
    </row>
    <row r="48" spans="1:16" x14ac:dyDescent="0.35">
      <c r="A48" s="21" t="s">
        <v>72</v>
      </c>
      <c r="B48" s="8" t="s">
        <v>13</v>
      </c>
      <c r="C48" s="8" t="s">
        <v>14</v>
      </c>
      <c r="D48" s="8" t="s">
        <v>214</v>
      </c>
      <c r="E48" s="8" t="s">
        <v>220</v>
      </c>
      <c r="F48" s="22">
        <v>17000</v>
      </c>
      <c r="G48" s="18">
        <v>300</v>
      </c>
      <c r="H48" s="21" t="s">
        <v>221</v>
      </c>
      <c r="I48" s="10">
        <v>900</v>
      </c>
      <c r="J48" s="8" t="s">
        <v>239</v>
      </c>
      <c r="K48" s="8" t="s">
        <v>224</v>
      </c>
      <c r="L48" s="10">
        <v>800</v>
      </c>
      <c r="M48" s="13">
        <v>3</v>
      </c>
      <c r="N48" s="10">
        <v>600000000</v>
      </c>
      <c r="O48" s="15">
        <f t="shared" si="0"/>
        <v>100</v>
      </c>
      <c r="P48" s="29">
        <f t="shared" si="1"/>
        <v>35294.117647058825</v>
      </c>
    </row>
    <row r="49" spans="1:16" x14ac:dyDescent="0.35">
      <c r="A49" s="21" t="s">
        <v>73</v>
      </c>
      <c r="B49" s="8" t="s">
        <v>19</v>
      </c>
      <c r="C49" s="8" t="s">
        <v>40</v>
      </c>
      <c r="D49" s="8" t="s">
        <v>216</v>
      </c>
      <c r="E49" s="8" t="s">
        <v>222</v>
      </c>
      <c r="F49" s="22">
        <v>5300000</v>
      </c>
      <c r="G49" s="18">
        <v>700</v>
      </c>
      <c r="H49" s="21" t="s">
        <v>220</v>
      </c>
      <c r="I49" s="10">
        <v>1600</v>
      </c>
      <c r="J49" s="8" t="s">
        <v>224</v>
      </c>
      <c r="K49" s="8" t="s">
        <v>220</v>
      </c>
      <c r="L49" s="10">
        <v>1200</v>
      </c>
      <c r="M49" s="13">
        <v>4</v>
      </c>
      <c r="N49" s="10">
        <v>100000000000</v>
      </c>
      <c r="O49" s="15">
        <f t="shared" si="0"/>
        <v>400</v>
      </c>
      <c r="P49" s="29">
        <f t="shared" si="1"/>
        <v>18867.924528301886</v>
      </c>
    </row>
    <row r="50" spans="1:16" x14ac:dyDescent="0.35">
      <c r="A50" s="21" t="s">
        <v>74</v>
      </c>
      <c r="B50" s="8" t="s">
        <v>10</v>
      </c>
      <c r="C50" s="8" t="s">
        <v>42</v>
      </c>
      <c r="D50" s="8" t="s">
        <v>214</v>
      </c>
      <c r="E50" s="8" t="s">
        <v>220</v>
      </c>
      <c r="F50" s="22">
        <v>30000000</v>
      </c>
      <c r="G50" s="18">
        <v>90</v>
      </c>
      <c r="H50" s="21" t="s">
        <v>244</v>
      </c>
      <c r="I50" s="10">
        <v>280</v>
      </c>
      <c r="J50" s="8" t="s">
        <v>239</v>
      </c>
      <c r="K50" s="8" t="s">
        <v>221</v>
      </c>
      <c r="L50" s="10">
        <v>420</v>
      </c>
      <c r="M50" s="13">
        <v>3</v>
      </c>
      <c r="N50" s="10">
        <v>95000000000</v>
      </c>
      <c r="O50" s="15">
        <f t="shared" si="0"/>
        <v>-140</v>
      </c>
      <c r="P50" s="29">
        <f t="shared" si="1"/>
        <v>3166.6666666666665</v>
      </c>
    </row>
    <row r="51" spans="1:16" x14ac:dyDescent="0.35">
      <c r="A51" s="21" t="s">
        <v>75</v>
      </c>
      <c r="B51" s="8" t="s">
        <v>7</v>
      </c>
      <c r="C51" s="8" t="s">
        <v>8</v>
      </c>
      <c r="D51" s="8" t="s">
        <v>215</v>
      </c>
      <c r="E51" s="8" t="s">
        <v>221</v>
      </c>
      <c r="F51" s="22">
        <v>3800000</v>
      </c>
      <c r="G51" s="18">
        <v>900</v>
      </c>
      <c r="H51" s="21" t="s">
        <v>220</v>
      </c>
      <c r="I51" s="10">
        <v>1800</v>
      </c>
      <c r="J51" s="8" t="s">
        <v>224</v>
      </c>
      <c r="K51" s="8" t="s">
        <v>220</v>
      </c>
      <c r="L51" s="10">
        <v>1400</v>
      </c>
      <c r="M51" s="13">
        <v>4</v>
      </c>
      <c r="N51" s="10">
        <v>95000000000</v>
      </c>
      <c r="O51" s="15">
        <f t="shared" si="0"/>
        <v>400</v>
      </c>
      <c r="P51" s="29">
        <f t="shared" si="1"/>
        <v>25000</v>
      </c>
    </row>
    <row r="52" spans="1:16" x14ac:dyDescent="0.35">
      <c r="A52" s="21" t="s">
        <v>76</v>
      </c>
      <c r="B52" s="8" t="s">
        <v>19</v>
      </c>
      <c r="C52" s="8" t="s">
        <v>20</v>
      </c>
      <c r="D52" s="8" t="s">
        <v>214</v>
      </c>
      <c r="E52" s="8" t="s">
        <v>220</v>
      </c>
      <c r="F52" s="22">
        <v>11000000</v>
      </c>
      <c r="G52" s="18">
        <v>50</v>
      </c>
      <c r="H52" s="21" t="s">
        <v>244</v>
      </c>
      <c r="I52" s="10">
        <v>90</v>
      </c>
      <c r="J52" s="8" t="s">
        <v>239</v>
      </c>
      <c r="K52" s="8" t="s">
        <v>221</v>
      </c>
      <c r="L52" s="10">
        <v>300</v>
      </c>
      <c r="M52" s="13">
        <v>4</v>
      </c>
      <c r="N52" s="10">
        <v>110000000000</v>
      </c>
      <c r="O52" s="15">
        <f t="shared" si="0"/>
        <v>-210</v>
      </c>
      <c r="P52" s="29">
        <f t="shared" si="1"/>
        <v>10000</v>
      </c>
    </row>
    <row r="53" spans="1:16" x14ac:dyDescent="0.35">
      <c r="A53" s="21" t="s">
        <v>77</v>
      </c>
      <c r="B53" s="8" t="s">
        <v>7</v>
      </c>
      <c r="C53" s="8" t="s">
        <v>8</v>
      </c>
      <c r="D53" s="8" t="s">
        <v>215</v>
      </c>
      <c r="E53" s="8" t="s">
        <v>221</v>
      </c>
      <c r="F53" s="22">
        <v>1300000</v>
      </c>
      <c r="G53" s="18">
        <v>1000</v>
      </c>
      <c r="H53" s="21" t="s">
        <v>220</v>
      </c>
      <c r="I53" s="10">
        <v>2600</v>
      </c>
      <c r="J53" s="8" t="s">
        <v>220</v>
      </c>
      <c r="K53" s="8" t="s">
        <v>220</v>
      </c>
      <c r="L53" s="10">
        <v>1800</v>
      </c>
      <c r="M53" s="13">
        <v>3</v>
      </c>
      <c r="N53" s="10">
        <v>50000000000</v>
      </c>
      <c r="O53" s="15">
        <f t="shared" si="0"/>
        <v>800</v>
      </c>
      <c r="P53" s="29">
        <f t="shared" si="1"/>
        <v>38461.538461538461</v>
      </c>
    </row>
    <row r="54" spans="1:16" x14ac:dyDescent="0.35">
      <c r="A54" s="21" t="s">
        <v>78</v>
      </c>
      <c r="B54" s="8" t="s">
        <v>7</v>
      </c>
      <c r="C54" s="8" t="s">
        <v>37</v>
      </c>
      <c r="D54" s="8" t="s">
        <v>215</v>
      </c>
      <c r="E54" s="8" t="s">
        <v>221</v>
      </c>
      <c r="F54" s="22">
        <v>10700000</v>
      </c>
      <c r="G54" s="18">
        <v>900</v>
      </c>
      <c r="H54" s="21" t="s">
        <v>220</v>
      </c>
      <c r="I54" s="10">
        <v>2100</v>
      </c>
      <c r="J54" s="8" t="s">
        <v>224</v>
      </c>
      <c r="K54" s="8" t="s">
        <v>224</v>
      </c>
      <c r="L54" s="10">
        <v>1600</v>
      </c>
      <c r="M54" s="13">
        <v>3</v>
      </c>
      <c r="N54" s="10">
        <v>370000000000</v>
      </c>
      <c r="O54" s="15">
        <f t="shared" si="0"/>
        <v>500</v>
      </c>
      <c r="P54" s="29">
        <f t="shared" si="1"/>
        <v>34579.439252336451</v>
      </c>
    </row>
    <row r="55" spans="1:16" x14ac:dyDescent="0.35">
      <c r="A55" s="21" t="s">
        <v>79</v>
      </c>
      <c r="B55" s="8" t="s">
        <v>7</v>
      </c>
      <c r="C55" s="8" t="s">
        <v>80</v>
      </c>
      <c r="D55" s="8" t="s">
        <v>215</v>
      </c>
      <c r="E55" s="8" t="s">
        <v>221</v>
      </c>
      <c r="F55" s="22">
        <v>6000000</v>
      </c>
      <c r="G55" s="18">
        <v>0</v>
      </c>
      <c r="H55" s="21" t="s">
        <v>219</v>
      </c>
      <c r="I55" s="10">
        <v>4800</v>
      </c>
      <c r="J55" s="8" t="s">
        <v>219</v>
      </c>
      <c r="K55" s="8" t="s">
        <v>219</v>
      </c>
      <c r="L55" s="10">
        <v>3200</v>
      </c>
      <c r="M55" s="13">
        <v>3</v>
      </c>
      <c r="N55" s="10">
        <v>470000000000</v>
      </c>
      <c r="O55" s="15">
        <f t="shared" si="0"/>
        <v>1600</v>
      </c>
      <c r="P55" s="29">
        <f t="shared" si="1"/>
        <v>78333.333333333328</v>
      </c>
    </row>
    <row r="56" spans="1:16" x14ac:dyDescent="0.35">
      <c r="A56" s="21" t="s">
        <v>81</v>
      </c>
      <c r="B56" s="8" t="s">
        <v>10</v>
      </c>
      <c r="C56" s="8" t="s">
        <v>56</v>
      </c>
      <c r="D56" s="8" t="s">
        <v>213</v>
      </c>
      <c r="E56" s="8" t="s">
        <v>219</v>
      </c>
      <c r="F56" s="22">
        <v>1100000</v>
      </c>
      <c r="G56" s="18">
        <v>200</v>
      </c>
      <c r="H56" s="21" t="s">
        <v>221</v>
      </c>
      <c r="I56" s="10">
        <v>480</v>
      </c>
      <c r="J56" s="8" t="s">
        <v>239</v>
      </c>
      <c r="K56" s="8" t="s">
        <v>224</v>
      </c>
      <c r="L56" s="10">
        <v>700</v>
      </c>
      <c r="M56" s="13">
        <v>4</v>
      </c>
      <c r="N56" s="10">
        <v>5000000000</v>
      </c>
      <c r="O56" s="15">
        <f t="shared" si="0"/>
        <v>-220</v>
      </c>
      <c r="P56" s="29">
        <f t="shared" si="1"/>
        <v>4545.454545454545</v>
      </c>
    </row>
    <row r="57" spans="1:16" x14ac:dyDescent="0.35">
      <c r="A57" s="21" t="s">
        <v>82</v>
      </c>
      <c r="B57" s="8" t="s">
        <v>19</v>
      </c>
      <c r="C57" s="8" t="s">
        <v>20</v>
      </c>
      <c r="D57" s="8" t="s">
        <v>214</v>
      </c>
      <c r="E57" s="8" t="s">
        <v>220</v>
      </c>
      <c r="F57" s="22">
        <v>70000</v>
      </c>
      <c r="G57" s="18">
        <v>400</v>
      </c>
      <c r="H57" s="21" t="s">
        <v>224</v>
      </c>
      <c r="I57" s="10">
        <v>1000</v>
      </c>
      <c r="J57" s="8" t="s">
        <v>221</v>
      </c>
      <c r="K57" s="8" t="s">
        <v>224</v>
      </c>
      <c r="L57" s="10">
        <v>900</v>
      </c>
      <c r="M57" s="13">
        <v>3</v>
      </c>
      <c r="N57" s="10">
        <v>1300000000</v>
      </c>
      <c r="O57" s="15">
        <f t="shared" si="0"/>
        <v>100</v>
      </c>
      <c r="P57" s="29">
        <f t="shared" si="1"/>
        <v>18571.428571428572</v>
      </c>
    </row>
    <row r="58" spans="1:16" x14ac:dyDescent="0.35">
      <c r="A58" s="21" t="s">
        <v>83</v>
      </c>
      <c r="B58" s="8" t="s">
        <v>19</v>
      </c>
      <c r="C58" s="8" t="s">
        <v>20</v>
      </c>
      <c r="D58" s="8" t="s">
        <v>216</v>
      </c>
      <c r="E58" s="8" t="s">
        <v>222</v>
      </c>
      <c r="F58" s="22">
        <v>11000000</v>
      </c>
      <c r="G58" s="18">
        <v>400</v>
      </c>
      <c r="H58" s="21" t="s">
        <v>224</v>
      </c>
      <c r="I58" s="10">
        <v>1050</v>
      </c>
      <c r="J58" s="8" t="s">
        <v>221</v>
      </c>
      <c r="K58" s="8" t="s">
        <v>224</v>
      </c>
      <c r="L58" s="10">
        <v>850</v>
      </c>
      <c r="M58" s="13">
        <v>5</v>
      </c>
      <c r="N58" s="10">
        <v>135000000000</v>
      </c>
      <c r="O58" s="15">
        <f t="shared" si="0"/>
        <v>200</v>
      </c>
      <c r="P58" s="29">
        <f t="shared" si="1"/>
        <v>12272.727272727272</v>
      </c>
    </row>
    <row r="59" spans="1:16" x14ac:dyDescent="0.35">
      <c r="A59" s="21" t="s">
        <v>84</v>
      </c>
      <c r="B59" s="8" t="s">
        <v>4</v>
      </c>
      <c r="C59" s="8" t="s">
        <v>51</v>
      </c>
      <c r="D59" s="8" t="s">
        <v>214</v>
      </c>
      <c r="E59" s="8" t="s">
        <v>220</v>
      </c>
      <c r="F59" s="22">
        <v>1300000</v>
      </c>
      <c r="G59" s="18">
        <v>150</v>
      </c>
      <c r="H59" s="21" t="s">
        <v>221</v>
      </c>
      <c r="I59" s="10">
        <v>320</v>
      </c>
      <c r="J59" s="8" t="s">
        <v>239</v>
      </c>
      <c r="K59" s="8" t="s">
        <v>239</v>
      </c>
      <c r="L59" s="10">
        <v>300</v>
      </c>
      <c r="M59" s="13">
        <v>4</v>
      </c>
      <c r="N59" s="10">
        <v>4500000000</v>
      </c>
      <c r="O59" s="15">
        <f t="shared" si="0"/>
        <v>20</v>
      </c>
      <c r="P59" s="29">
        <f t="shared" si="1"/>
        <v>3461.5384615384614</v>
      </c>
    </row>
    <row r="60" spans="1:16" x14ac:dyDescent="0.35">
      <c r="A60" s="21" t="s">
        <v>85</v>
      </c>
      <c r="B60" s="8" t="s">
        <v>23</v>
      </c>
      <c r="C60" s="8" t="s">
        <v>23</v>
      </c>
      <c r="D60" s="8" t="s">
        <v>216</v>
      </c>
      <c r="E60" s="8" t="s">
        <v>222</v>
      </c>
      <c r="F60" s="22">
        <v>18000000</v>
      </c>
      <c r="G60" s="18">
        <v>460</v>
      </c>
      <c r="H60" s="21" t="s">
        <v>224</v>
      </c>
      <c r="I60" s="10">
        <v>850</v>
      </c>
      <c r="J60" s="8" t="s">
        <v>221</v>
      </c>
      <c r="K60" s="8" t="s">
        <v>224</v>
      </c>
      <c r="L60" s="10">
        <v>650</v>
      </c>
      <c r="M60" s="13">
        <v>3</v>
      </c>
      <c r="N60" s="10">
        <v>125000000000</v>
      </c>
      <c r="O60" s="15">
        <f t="shared" si="0"/>
        <v>200</v>
      </c>
      <c r="P60" s="29">
        <f t="shared" si="1"/>
        <v>6944.4444444444443</v>
      </c>
    </row>
    <row r="61" spans="1:16" x14ac:dyDescent="0.35">
      <c r="A61" s="21" t="s">
        <v>86</v>
      </c>
      <c r="B61" s="8" t="s">
        <v>10</v>
      </c>
      <c r="C61" s="8" t="s">
        <v>11</v>
      </c>
      <c r="D61" s="8" t="s">
        <v>214</v>
      </c>
      <c r="E61" s="8" t="s">
        <v>220</v>
      </c>
      <c r="F61" s="22">
        <v>112000000</v>
      </c>
      <c r="G61" s="18">
        <v>120</v>
      </c>
      <c r="H61" s="21" t="s">
        <v>221</v>
      </c>
      <c r="I61" s="10">
        <v>380</v>
      </c>
      <c r="J61" s="8" t="s">
        <v>239</v>
      </c>
      <c r="K61" s="8" t="s">
        <v>221</v>
      </c>
      <c r="L61" s="10">
        <v>380</v>
      </c>
      <c r="M61" s="13">
        <v>12</v>
      </c>
      <c r="N61" s="10">
        <v>560000000000</v>
      </c>
      <c r="O61" s="15">
        <f t="shared" si="0"/>
        <v>0</v>
      </c>
      <c r="P61" s="29">
        <f t="shared" si="1"/>
        <v>5000</v>
      </c>
    </row>
    <row r="62" spans="1:16" x14ac:dyDescent="0.35">
      <c r="A62" s="21" t="s">
        <v>87</v>
      </c>
      <c r="B62" s="8" t="s">
        <v>19</v>
      </c>
      <c r="C62" s="8" t="s">
        <v>40</v>
      </c>
      <c r="D62" s="8" t="s">
        <v>214</v>
      </c>
      <c r="E62" s="8" t="s">
        <v>220</v>
      </c>
      <c r="F62" s="22">
        <v>6300000</v>
      </c>
      <c r="G62" s="18">
        <v>365</v>
      </c>
      <c r="H62" s="21" t="s">
        <v>224</v>
      </c>
      <c r="I62" s="10">
        <v>780</v>
      </c>
      <c r="J62" s="8" t="s">
        <v>221</v>
      </c>
      <c r="K62" s="8" t="s">
        <v>224</v>
      </c>
      <c r="L62" s="10">
        <v>700</v>
      </c>
      <c r="M62" s="13">
        <v>3</v>
      </c>
      <c r="N62" s="10">
        <v>85000000000</v>
      </c>
      <c r="O62" s="15">
        <f t="shared" si="0"/>
        <v>80</v>
      </c>
      <c r="P62" s="29">
        <f t="shared" si="1"/>
        <v>13492.063492063493</v>
      </c>
    </row>
    <row r="63" spans="1:16" x14ac:dyDescent="0.35">
      <c r="A63" s="21" t="s">
        <v>88</v>
      </c>
      <c r="B63" s="8" t="s">
        <v>10</v>
      </c>
      <c r="C63" s="8" t="s">
        <v>17</v>
      </c>
      <c r="D63" s="8" t="s">
        <v>214</v>
      </c>
      <c r="E63" s="8" t="s">
        <v>220</v>
      </c>
      <c r="F63" s="22">
        <v>1800000</v>
      </c>
      <c r="G63" s="18">
        <v>200</v>
      </c>
      <c r="H63" s="21" t="s">
        <v>221</v>
      </c>
      <c r="I63" s="10">
        <v>640</v>
      </c>
      <c r="J63" s="8" t="s">
        <v>221</v>
      </c>
      <c r="K63" s="8" t="s">
        <v>221</v>
      </c>
      <c r="L63" s="10">
        <v>600</v>
      </c>
      <c r="M63" s="13">
        <v>4</v>
      </c>
      <c r="N63" s="10">
        <v>12000000000</v>
      </c>
      <c r="O63" s="15">
        <f t="shared" si="0"/>
        <v>40</v>
      </c>
      <c r="P63" s="29">
        <f t="shared" si="1"/>
        <v>6666.666666666667</v>
      </c>
    </row>
    <row r="64" spans="1:16" x14ac:dyDescent="0.35">
      <c r="A64" s="21" t="s">
        <v>89</v>
      </c>
      <c r="B64" s="8" t="s">
        <v>10</v>
      </c>
      <c r="C64" s="8" t="s">
        <v>56</v>
      </c>
      <c r="D64" s="8" t="s">
        <v>213</v>
      </c>
      <c r="E64" s="8" t="s">
        <v>219</v>
      </c>
      <c r="F64" s="22">
        <v>3700000</v>
      </c>
      <c r="G64" s="18">
        <v>50</v>
      </c>
      <c r="H64" s="21" t="s">
        <v>244</v>
      </c>
      <c r="I64" s="10">
        <v>110</v>
      </c>
      <c r="J64" s="8" t="s">
        <v>239</v>
      </c>
      <c r="K64" s="8" t="s">
        <v>239</v>
      </c>
      <c r="L64" s="10">
        <v>180</v>
      </c>
      <c r="M64" s="13">
        <v>6</v>
      </c>
      <c r="N64" s="10">
        <v>4000000000</v>
      </c>
      <c r="O64" s="15">
        <f t="shared" si="0"/>
        <v>-70</v>
      </c>
      <c r="P64" s="29">
        <f t="shared" si="1"/>
        <v>1081.081081081081</v>
      </c>
    </row>
    <row r="65" spans="1:16" x14ac:dyDescent="0.35">
      <c r="A65" s="21" t="s">
        <v>90</v>
      </c>
      <c r="B65" s="8" t="s">
        <v>7</v>
      </c>
      <c r="C65" s="8" t="s">
        <v>80</v>
      </c>
      <c r="D65" s="8" t="s">
        <v>215</v>
      </c>
      <c r="E65" s="8" t="s">
        <v>221</v>
      </c>
      <c r="F65" s="22">
        <v>1300000</v>
      </c>
      <c r="G65" s="18">
        <v>1000</v>
      </c>
      <c r="H65" s="21" t="s">
        <v>220</v>
      </c>
      <c r="I65" s="10">
        <v>2300</v>
      </c>
      <c r="J65" s="8" t="s">
        <v>224</v>
      </c>
      <c r="K65" s="8" t="s">
        <v>220</v>
      </c>
      <c r="L65" s="10">
        <v>1700</v>
      </c>
      <c r="M65" s="13">
        <v>4</v>
      </c>
      <c r="N65" s="10">
        <v>55000000000</v>
      </c>
      <c r="O65" s="15">
        <f t="shared" si="0"/>
        <v>600</v>
      </c>
      <c r="P65" s="29">
        <f t="shared" si="1"/>
        <v>42307.692307692305</v>
      </c>
    </row>
    <row r="66" spans="1:16" x14ac:dyDescent="0.35">
      <c r="A66" s="21" t="s">
        <v>91</v>
      </c>
      <c r="B66" s="8" t="s">
        <v>10</v>
      </c>
      <c r="C66" s="8" t="s">
        <v>56</v>
      </c>
      <c r="D66" s="8" t="s">
        <v>213</v>
      </c>
      <c r="E66" s="8" t="s">
        <v>219</v>
      </c>
      <c r="F66" s="22">
        <v>126000000</v>
      </c>
      <c r="G66" s="18">
        <v>60</v>
      </c>
      <c r="H66" s="21" t="s">
        <v>244</v>
      </c>
      <c r="I66" s="10">
        <v>180</v>
      </c>
      <c r="J66" s="8" t="s">
        <v>239</v>
      </c>
      <c r="K66" s="8" t="s">
        <v>239</v>
      </c>
      <c r="L66" s="10">
        <v>250</v>
      </c>
      <c r="M66" s="13">
        <v>15</v>
      </c>
      <c r="N66" s="10">
        <v>240000000000</v>
      </c>
      <c r="O66" s="15">
        <f t="shared" si="0"/>
        <v>-70</v>
      </c>
      <c r="P66" s="29">
        <f t="shared" si="1"/>
        <v>1904.7619047619048</v>
      </c>
    </row>
    <row r="67" spans="1:16" x14ac:dyDescent="0.35">
      <c r="A67" s="21" t="s">
        <v>92</v>
      </c>
      <c r="B67" s="8" t="s">
        <v>13</v>
      </c>
      <c r="C67" s="8" t="s">
        <v>93</v>
      </c>
      <c r="D67" s="8" t="s">
        <v>214</v>
      </c>
      <c r="E67" s="8" t="s">
        <v>220</v>
      </c>
      <c r="F67" s="22">
        <v>930000</v>
      </c>
      <c r="G67" s="18">
        <v>120</v>
      </c>
      <c r="H67" s="21" t="s">
        <v>221</v>
      </c>
      <c r="I67" s="10">
        <v>480</v>
      </c>
      <c r="J67" s="8" t="s">
        <v>239</v>
      </c>
      <c r="K67" s="8" t="s">
        <v>221</v>
      </c>
      <c r="L67" s="10">
        <v>650</v>
      </c>
      <c r="M67" s="13">
        <v>4</v>
      </c>
      <c r="N67" s="10">
        <v>6500000000</v>
      </c>
      <c r="O67" s="15">
        <f t="shared" ref="O67:O130" si="2">I67-L67</f>
        <v>-170</v>
      </c>
      <c r="P67" s="29">
        <f t="shared" si="1"/>
        <v>6989.2473118279568</v>
      </c>
    </row>
    <row r="68" spans="1:16" x14ac:dyDescent="0.35">
      <c r="A68" s="21" t="s">
        <v>94</v>
      </c>
      <c r="B68" s="8" t="s">
        <v>7</v>
      </c>
      <c r="C68" s="8" t="s">
        <v>80</v>
      </c>
      <c r="D68" s="8" t="s">
        <v>215</v>
      </c>
      <c r="E68" s="8" t="s">
        <v>221</v>
      </c>
      <c r="F68" s="22">
        <v>5600000</v>
      </c>
      <c r="G68" s="18">
        <v>0</v>
      </c>
      <c r="H68" s="21" t="s">
        <v>219</v>
      </c>
      <c r="I68" s="10">
        <v>4600</v>
      </c>
      <c r="J68" s="8" t="s">
        <v>219</v>
      </c>
      <c r="K68" s="8" t="s">
        <v>219</v>
      </c>
      <c r="L68" s="10">
        <v>3000</v>
      </c>
      <c r="M68" s="13">
        <v>3</v>
      </c>
      <c r="N68" s="10">
        <v>330000000000</v>
      </c>
      <c r="O68" s="15">
        <f t="shared" si="2"/>
        <v>1600</v>
      </c>
      <c r="P68" s="29">
        <f t="shared" ref="P68:P131" si="3">N68/F68</f>
        <v>58928.571428571428</v>
      </c>
    </row>
    <row r="69" spans="1:16" x14ac:dyDescent="0.35">
      <c r="A69" s="21" t="s">
        <v>95</v>
      </c>
      <c r="B69" s="8" t="s">
        <v>7</v>
      </c>
      <c r="C69" s="8" t="s">
        <v>30</v>
      </c>
      <c r="D69" s="8" t="s">
        <v>215</v>
      </c>
      <c r="E69" s="8" t="s">
        <v>221</v>
      </c>
      <c r="F69" s="22">
        <v>68000000</v>
      </c>
      <c r="G69" s="18">
        <v>1800</v>
      </c>
      <c r="H69" s="21" t="s">
        <v>219</v>
      </c>
      <c r="I69" s="10">
        <v>3600</v>
      </c>
      <c r="J69" s="8" t="s">
        <v>219</v>
      </c>
      <c r="K69" s="8" t="s">
        <v>219</v>
      </c>
      <c r="L69" s="10">
        <v>2800</v>
      </c>
      <c r="M69" s="13">
        <v>3</v>
      </c>
      <c r="N69" s="10">
        <v>3100000000000</v>
      </c>
      <c r="O69" s="15">
        <f t="shared" si="2"/>
        <v>800</v>
      </c>
      <c r="P69" s="29">
        <f t="shared" si="3"/>
        <v>45588.23529411765</v>
      </c>
    </row>
    <row r="70" spans="1:16" x14ac:dyDescent="0.35">
      <c r="A70" s="21" t="s">
        <v>96</v>
      </c>
      <c r="B70" s="8" t="s">
        <v>10</v>
      </c>
      <c r="C70" s="8" t="s">
        <v>17</v>
      </c>
      <c r="D70" s="8" t="s">
        <v>214</v>
      </c>
      <c r="E70" s="8" t="s">
        <v>220</v>
      </c>
      <c r="F70" s="22">
        <v>2400000</v>
      </c>
      <c r="G70" s="18">
        <v>250</v>
      </c>
      <c r="H70" s="21" t="s">
        <v>221</v>
      </c>
      <c r="I70" s="10">
        <v>720</v>
      </c>
      <c r="J70" s="8" t="s">
        <v>221</v>
      </c>
      <c r="K70" s="8" t="s">
        <v>224</v>
      </c>
      <c r="L70" s="10">
        <v>900</v>
      </c>
      <c r="M70" s="13">
        <v>4</v>
      </c>
      <c r="N70" s="10">
        <v>23000000000</v>
      </c>
      <c r="O70" s="15">
        <f t="shared" si="2"/>
        <v>-180</v>
      </c>
      <c r="P70" s="29">
        <f t="shared" si="3"/>
        <v>9583.3333333333339</v>
      </c>
    </row>
    <row r="71" spans="1:16" x14ac:dyDescent="0.35">
      <c r="A71" s="21" t="s">
        <v>97</v>
      </c>
      <c r="B71" s="8" t="s">
        <v>10</v>
      </c>
      <c r="C71" s="8" t="s">
        <v>42</v>
      </c>
      <c r="D71" s="8" t="s">
        <v>213</v>
      </c>
      <c r="E71" s="8" t="s">
        <v>219</v>
      </c>
      <c r="F71" s="22">
        <v>2800000</v>
      </c>
      <c r="G71" s="18">
        <v>60</v>
      </c>
      <c r="H71" s="21" t="s">
        <v>244</v>
      </c>
      <c r="I71" s="10">
        <v>180</v>
      </c>
      <c r="J71" s="8" t="s">
        <v>239</v>
      </c>
      <c r="K71" s="8" t="s">
        <v>239</v>
      </c>
      <c r="L71" s="10">
        <v>220</v>
      </c>
      <c r="M71" s="13">
        <v>5</v>
      </c>
      <c r="N71" s="10">
        <v>5000000000</v>
      </c>
      <c r="O71" s="15">
        <f t="shared" si="2"/>
        <v>-40</v>
      </c>
      <c r="P71" s="29">
        <f t="shared" si="3"/>
        <v>1785.7142857142858</v>
      </c>
    </row>
    <row r="72" spans="1:16" x14ac:dyDescent="0.35">
      <c r="A72" s="21" t="s">
        <v>98</v>
      </c>
      <c r="B72" s="8" t="s">
        <v>4</v>
      </c>
      <c r="C72" s="8" t="s">
        <v>25</v>
      </c>
      <c r="D72" s="8" t="s">
        <v>214</v>
      </c>
      <c r="E72" s="8" t="s">
        <v>220</v>
      </c>
      <c r="F72" s="22">
        <v>3700000</v>
      </c>
      <c r="G72" s="18">
        <v>300</v>
      </c>
      <c r="H72" s="21" t="s">
        <v>224</v>
      </c>
      <c r="I72" s="10">
        <v>720</v>
      </c>
      <c r="J72" s="8" t="s">
        <v>221</v>
      </c>
      <c r="K72" s="8" t="s">
        <v>221</v>
      </c>
      <c r="L72" s="10">
        <v>520</v>
      </c>
      <c r="M72" s="13">
        <v>4</v>
      </c>
      <c r="N72" s="10">
        <v>42000000000</v>
      </c>
      <c r="O72" s="15">
        <f t="shared" si="2"/>
        <v>200</v>
      </c>
      <c r="P72" s="29">
        <f t="shared" si="3"/>
        <v>11351.351351351352</v>
      </c>
    </row>
    <row r="73" spans="1:16" x14ac:dyDescent="0.35">
      <c r="A73" s="21" t="s">
        <v>99</v>
      </c>
      <c r="B73" s="8" t="s">
        <v>7</v>
      </c>
      <c r="C73" s="8" t="s">
        <v>30</v>
      </c>
      <c r="D73" s="8" t="s">
        <v>215</v>
      </c>
      <c r="E73" s="8" t="s">
        <v>221</v>
      </c>
      <c r="F73" s="22">
        <v>84000000</v>
      </c>
      <c r="G73" s="18">
        <v>2100</v>
      </c>
      <c r="H73" s="21" t="s">
        <v>219</v>
      </c>
      <c r="I73" s="10">
        <v>4300</v>
      </c>
      <c r="J73" s="8" t="s">
        <v>219</v>
      </c>
      <c r="K73" s="8" t="s">
        <v>219</v>
      </c>
      <c r="L73" s="10">
        <v>2900</v>
      </c>
      <c r="M73" s="13">
        <v>3</v>
      </c>
      <c r="N73" s="10">
        <v>4600000000000</v>
      </c>
      <c r="O73" s="15">
        <f t="shared" si="2"/>
        <v>1400</v>
      </c>
      <c r="P73" s="29">
        <f t="shared" si="3"/>
        <v>54761.904761904763</v>
      </c>
    </row>
    <row r="74" spans="1:16" x14ac:dyDescent="0.35">
      <c r="A74" s="21" t="s">
        <v>100</v>
      </c>
      <c r="B74" s="8" t="s">
        <v>10</v>
      </c>
      <c r="C74" s="8" t="s">
        <v>42</v>
      </c>
      <c r="D74" s="8" t="s">
        <v>214</v>
      </c>
      <c r="E74" s="8" t="s">
        <v>220</v>
      </c>
      <c r="F74" s="22">
        <v>34000000</v>
      </c>
      <c r="G74" s="18">
        <v>80</v>
      </c>
      <c r="H74" s="21" t="s">
        <v>244</v>
      </c>
      <c r="I74" s="10">
        <v>240</v>
      </c>
      <c r="J74" s="8" t="s">
        <v>239</v>
      </c>
      <c r="K74" s="8" t="s">
        <v>221</v>
      </c>
      <c r="L74" s="10">
        <v>400</v>
      </c>
      <c r="M74" s="13">
        <v>20</v>
      </c>
      <c r="N74" s="10">
        <v>90000000000</v>
      </c>
      <c r="O74" s="15">
        <f t="shared" si="2"/>
        <v>-160</v>
      </c>
      <c r="P74" s="29">
        <f t="shared" si="3"/>
        <v>2647.0588235294117</v>
      </c>
    </row>
    <row r="75" spans="1:16" x14ac:dyDescent="0.35">
      <c r="A75" s="21" t="s">
        <v>101</v>
      </c>
      <c r="B75" s="8" t="s">
        <v>7</v>
      </c>
      <c r="C75" s="8" t="s">
        <v>8</v>
      </c>
      <c r="D75" s="8" t="s">
        <v>215</v>
      </c>
      <c r="E75" s="8" t="s">
        <v>221</v>
      </c>
      <c r="F75" s="22">
        <v>10300000</v>
      </c>
      <c r="G75" s="18">
        <v>950</v>
      </c>
      <c r="H75" s="21" t="s">
        <v>220</v>
      </c>
      <c r="I75" s="10">
        <v>1800</v>
      </c>
      <c r="J75" s="8" t="s">
        <v>224</v>
      </c>
      <c r="K75" s="8" t="s">
        <v>220</v>
      </c>
      <c r="L75" s="10">
        <v>1600</v>
      </c>
      <c r="M75" s="13">
        <v>3</v>
      </c>
      <c r="N75" s="10">
        <v>290000000000</v>
      </c>
      <c r="O75" s="15">
        <f t="shared" si="2"/>
        <v>200</v>
      </c>
      <c r="P75" s="29">
        <f t="shared" si="3"/>
        <v>28155.339805825242</v>
      </c>
    </row>
    <row r="76" spans="1:16" x14ac:dyDescent="0.35">
      <c r="A76" s="21" t="s">
        <v>102</v>
      </c>
      <c r="B76" s="8" t="s">
        <v>19</v>
      </c>
      <c r="C76" s="8" t="s">
        <v>20</v>
      </c>
      <c r="D76" s="8" t="s">
        <v>214</v>
      </c>
      <c r="E76" s="8" t="s">
        <v>220</v>
      </c>
      <c r="F76" s="22">
        <v>125000</v>
      </c>
      <c r="G76" s="18">
        <v>500</v>
      </c>
      <c r="H76" s="21" t="s">
        <v>224</v>
      </c>
      <c r="I76" s="10">
        <v>1200</v>
      </c>
      <c r="J76" s="8" t="s">
        <v>221</v>
      </c>
      <c r="K76" s="8" t="s">
        <v>220</v>
      </c>
      <c r="L76" s="10">
        <v>1500</v>
      </c>
      <c r="M76" s="13">
        <v>3</v>
      </c>
      <c r="N76" s="10">
        <v>2000000000</v>
      </c>
      <c r="O76" s="15">
        <f t="shared" si="2"/>
        <v>-300</v>
      </c>
      <c r="P76" s="29">
        <f t="shared" si="3"/>
        <v>16000</v>
      </c>
    </row>
    <row r="77" spans="1:16" x14ac:dyDescent="0.35">
      <c r="A77" s="21" t="s">
        <v>104</v>
      </c>
      <c r="B77" s="8" t="s">
        <v>19</v>
      </c>
      <c r="C77" s="8" t="s">
        <v>40</v>
      </c>
      <c r="D77" s="8" t="s">
        <v>214</v>
      </c>
      <c r="E77" s="8" t="s">
        <v>220</v>
      </c>
      <c r="F77" s="22">
        <v>18000000</v>
      </c>
      <c r="G77" s="18">
        <v>450</v>
      </c>
      <c r="H77" s="21" t="s">
        <v>224</v>
      </c>
      <c r="I77" s="10">
        <v>800</v>
      </c>
      <c r="J77" s="8" t="s">
        <v>221</v>
      </c>
      <c r="K77" s="8" t="s">
        <v>221</v>
      </c>
      <c r="L77" s="10">
        <v>520</v>
      </c>
      <c r="M77" s="13">
        <v>4</v>
      </c>
      <c r="N77" s="10">
        <v>130000000000</v>
      </c>
      <c r="O77" s="15">
        <f t="shared" si="2"/>
        <v>280</v>
      </c>
      <c r="P77" s="29">
        <f t="shared" si="3"/>
        <v>7222.2222222222226</v>
      </c>
    </row>
    <row r="78" spans="1:16" x14ac:dyDescent="0.35">
      <c r="A78" s="21" t="s">
        <v>105</v>
      </c>
      <c r="B78" s="8" t="s">
        <v>10</v>
      </c>
      <c r="C78" s="8" t="s">
        <v>42</v>
      </c>
      <c r="D78" s="8" t="s">
        <v>213</v>
      </c>
      <c r="E78" s="8" t="s">
        <v>219</v>
      </c>
      <c r="F78" s="22">
        <v>14000000</v>
      </c>
      <c r="G78" s="18">
        <v>70</v>
      </c>
      <c r="H78" s="21" t="s">
        <v>244</v>
      </c>
      <c r="I78" s="10">
        <v>180</v>
      </c>
      <c r="J78" s="8" t="s">
        <v>239</v>
      </c>
      <c r="K78" s="8" t="s">
        <v>239</v>
      </c>
      <c r="L78" s="10">
        <v>220</v>
      </c>
      <c r="M78" s="13">
        <v>8</v>
      </c>
      <c r="N78" s="10">
        <v>38000000000</v>
      </c>
      <c r="O78" s="15">
        <f t="shared" si="2"/>
        <v>-40</v>
      </c>
      <c r="P78" s="29">
        <f t="shared" si="3"/>
        <v>2714.2857142857142</v>
      </c>
    </row>
    <row r="79" spans="1:16" x14ac:dyDescent="0.35">
      <c r="A79" s="21" t="s">
        <v>106</v>
      </c>
      <c r="B79" s="8" t="s">
        <v>10</v>
      </c>
      <c r="C79" s="8" t="s">
        <v>42</v>
      </c>
      <c r="D79" s="8" t="s">
        <v>213</v>
      </c>
      <c r="E79" s="8" t="s">
        <v>219</v>
      </c>
      <c r="F79" s="22">
        <v>2200000</v>
      </c>
      <c r="G79" s="18">
        <v>60</v>
      </c>
      <c r="H79" s="21" t="s">
        <v>244</v>
      </c>
      <c r="I79" s="10">
        <v>150</v>
      </c>
      <c r="J79" s="8" t="s">
        <v>239</v>
      </c>
      <c r="K79" s="8" t="s">
        <v>239</v>
      </c>
      <c r="L79" s="10">
        <v>200</v>
      </c>
      <c r="M79" s="13">
        <v>5</v>
      </c>
      <c r="N79" s="10">
        <v>2200000000</v>
      </c>
      <c r="O79" s="15">
        <f t="shared" si="2"/>
        <v>-50</v>
      </c>
      <c r="P79" s="29">
        <f t="shared" si="3"/>
        <v>1000</v>
      </c>
    </row>
    <row r="80" spans="1:16" x14ac:dyDescent="0.35">
      <c r="A80" s="21" t="s">
        <v>107</v>
      </c>
      <c r="B80" s="8" t="s">
        <v>23</v>
      </c>
      <c r="C80" s="8" t="s">
        <v>23</v>
      </c>
      <c r="D80" s="8" t="s">
        <v>216</v>
      </c>
      <c r="E80" s="8" t="s">
        <v>222</v>
      </c>
      <c r="F80" s="22">
        <v>800000</v>
      </c>
      <c r="G80" s="18">
        <v>500</v>
      </c>
      <c r="H80" s="21" t="s">
        <v>224</v>
      </c>
      <c r="I80" s="10">
        <v>1300</v>
      </c>
      <c r="J80" s="8" t="s">
        <v>221</v>
      </c>
      <c r="K80" s="8" t="s">
        <v>224</v>
      </c>
      <c r="L80" s="10">
        <v>650</v>
      </c>
      <c r="M80" s="13">
        <v>4</v>
      </c>
      <c r="N80" s="10">
        <v>25000000000</v>
      </c>
      <c r="O80" s="15">
        <f t="shared" si="2"/>
        <v>650</v>
      </c>
      <c r="P80" s="29">
        <f t="shared" si="3"/>
        <v>31250</v>
      </c>
    </row>
    <row r="81" spans="1:16" x14ac:dyDescent="0.35">
      <c r="A81" s="21" t="s">
        <v>108</v>
      </c>
      <c r="B81" s="8" t="s">
        <v>19</v>
      </c>
      <c r="C81" s="8" t="s">
        <v>20</v>
      </c>
      <c r="D81" s="8" t="s">
        <v>213</v>
      </c>
      <c r="E81" s="8" t="s">
        <v>219</v>
      </c>
      <c r="F81" s="22">
        <v>11500000</v>
      </c>
      <c r="G81" s="18">
        <v>120</v>
      </c>
      <c r="H81" s="21" t="s">
        <v>244</v>
      </c>
      <c r="I81" s="10">
        <v>220</v>
      </c>
      <c r="J81" s="8" t="s">
        <v>239</v>
      </c>
      <c r="K81" s="8" t="s">
        <v>239</v>
      </c>
      <c r="L81" s="10">
        <v>240</v>
      </c>
      <c r="M81" s="13">
        <v>18</v>
      </c>
      <c r="N81" s="10">
        <v>20000000000</v>
      </c>
      <c r="O81" s="15">
        <f t="shared" si="2"/>
        <v>-20</v>
      </c>
      <c r="P81" s="29">
        <f t="shared" si="3"/>
        <v>1739.1304347826087</v>
      </c>
    </row>
    <row r="82" spans="1:16" x14ac:dyDescent="0.35">
      <c r="A82" s="21" t="s">
        <v>109</v>
      </c>
      <c r="B82" s="8" t="s">
        <v>19</v>
      </c>
      <c r="C82" s="8" t="s">
        <v>40</v>
      </c>
      <c r="D82" s="8" t="s">
        <v>214</v>
      </c>
      <c r="E82" s="8" t="s">
        <v>220</v>
      </c>
      <c r="F82" s="22">
        <v>10600000</v>
      </c>
      <c r="G82" s="18">
        <v>350</v>
      </c>
      <c r="H82" s="21" t="s">
        <v>224</v>
      </c>
      <c r="I82" s="10">
        <v>750</v>
      </c>
      <c r="J82" s="8" t="s">
        <v>221</v>
      </c>
      <c r="K82" s="8" t="s">
        <v>221</v>
      </c>
      <c r="L82" s="10">
        <v>500</v>
      </c>
      <c r="M82" s="13">
        <v>5</v>
      </c>
      <c r="N82" s="10">
        <v>70000000000</v>
      </c>
      <c r="O82" s="15">
        <f t="shared" si="2"/>
        <v>250</v>
      </c>
      <c r="P82" s="29">
        <f t="shared" si="3"/>
        <v>6603.7735849056608</v>
      </c>
    </row>
    <row r="83" spans="1:16" x14ac:dyDescent="0.35">
      <c r="A83" s="21" t="s">
        <v>110</v>
      </c>
      <c r="B83" s="8" t="s">
        <v>4</v>
      </c>
      <c r="C83" s="8" t="s">
        <v>67</v>
      </c>
      <c r="D83" s="8" t="s">
        <v>215</v>
      </c>
      <c r="E83" s="8" t="s">
        <v>221</v>
      </c>
      <c r="F83" s="22">
        <v>7500000</v>
      </c>
      <c r="G83" s="18">
        <v>900</v>
      </c>
      <c r="H83" s="21" t="s">
        <v>220</v>
      </c>
      <c r="I83" s="10">
        <v>3200</v>
      </c>
      <c r="J83" s="8" t="s">
        <v>220</v>
      </c>
      <c r="K83" s="8" t="s">
        <v>219</v>
      </c>
      <c r="L83" s="10">
        <v>3000</v>
      </c>
      <c r="M83" s="13">
        <v>2</v>
      </c>
      <c r="N83" s="10">
        <v>430000000000</v>
      </c>
      <c r="O83" s="15">
        <f t="shared" si="2"/>
        <v>200</v>
      </c>
      <c r="P83" s="29">
        <f t="shared" si="3"/>
        <v>57333.333333333336</v>
      </c>
    </row>
    <row r="84" spans="1:16" x14ac:dyDescent="0.35">
      <c r="A84" s="21" t="s">
        <v>111</v>
      </c>
      <c r="B84" s="8" t="s">
        <v>7</v>
      </c>
      <c r="C84" s="8" t="s">
        <v>37</v>
      </c>
      <c r="D84" s="8" t="s">
        <v>215</v>
      </c>
      <c r="E84" s="8" t="s">
        <v>221</v>
      </c>
      <c r="F84" s="22">
        <v>9600000</v>
      </c>
      <c r="G84" s="18">
        <v>800</v>
      </c>
      <c r="H84" s="21" t="s">
        <v>220</v>
      </c>
      <c r="I84" s="10">
        <v>1900</v>
      </c>
      <c r="J84" s="8" t="s">
        <v>224</v>
      </c>
      <c r="K84" s="8" t="s">
        <v>224</v>
      </c>
      <c r="L84" s="10">
        <v>1500</v>
      </c>
      <c r="M84" s="13">
        <v>4</v>
      </c>
      <c r="N84" s="10">
        <v>300000000000</v>
      </c>
      <c r="O84" s="15">
        <f t="shared" si="2"/>
        <v>400</v>
      </c>
      <c r="P84" s="29">
        <f t="shared" si="3"/>
        <v>31250</v>
      </c>
    </row>
    <row r="85" spans="1:16" x14ac:dyDescent="0.35">
      <c r="A85" s="21" t="s">
        <v>112</v>
      </c>
      <c r="B85" s="8" t="s">
        <v>7</v>
      </c>
      <c r="C85" s="8" t="s">
        <v>80</v>
      </c>
      <c r="D85" s="8" t="s">
        <v>215</v>
      </c>
      <c r="E85" s="8" t="s">
        <v>221</v>
      </c>
      <c r="F85" s="22">
        <v>390000</v>
      </c>
      <c r="G85" s="18">
        <v>0</v>
      </c>
      <c r="H85" s="21" t="s">
        <v>219</v>
      </c>
      <c r="I85" s="10">
        <v>5600</v>
      </c>
      <c r="J85" s="8" t="s">
        <v>219</v>
      </c>
      <c r="K85" s="8" t="s">
        <v>219</v>
      </c>
      <c r="L85" s="10">
        <v>3500</v>
      </c>
      <c r="M85" s="13">
        <v>3</v>
      </c>
      <c r="N85" s="10">
        <v>36000000000</v>
      </c>
      <c r="O85" s="15">
        <f t="shared" si="2"/>
        <v>2100</v>
      </c>
      <c r="P85" s="29">
        <f t="shared" si="3"/>
        <v>92307.692307692312</v>
      </c>
    </row>
    <row r="86" spans="1:16" x14ac:dyDescent="0.35">
      <c r="A86" s="21" t="s">
        <v>113</v>
      </c>
      <c r="B86" s="8" t="s">
        <v>4</v>
      </c>
      <c r="C86" s="8" t="s">
        <v>5</v>
      </c>
      <c r="D86" s="8" t="s">
        <v>214</v>
      </c>
      <c r="E86" s="8" t="s">
        <v>220</v>
      </c>
      <c r="F86" s="22">
        <v>1440000000</v>
      </c>
      <c r="G86" s="18">
        <v>100</v>
      </c>
      <c r="H86" s="21" t="s">
        <v>244</v>
      </c>
      <c r="I86" s="10">
        <v>360</v>
      </c>
      <c r="J86" s="8" t="s">
        <v>239</v>
      </c>
      <c r="K86" s="8" t="s">
        <v>239</v>
      </c>
      <c r="L86" s="10">
        <v>300</v>
      </c>
      <c r="M86" s="13">
        <v>5</v>
      </c>
      <c r="N86" s="10">
        <v>4200000000000</v>
      </c>
      <c r="O86" s="15">
        <f t="shared" si="2"/>
        <v>60</v>
      </c>
      <c r="P86" s="29">
        <f t="shared" si="3"/>
        <v>2916.6666666666665</v>
      </c>
    </row>
    <row r="87" spans="1:16" x14ac:dyDescent="0.35">
      <c r="A87" s="21" t="s">
        <v>114</v>
      </c>
      <c r="B87" s="8" t="s">
        <v>4</v>
      </c>
      <c r="C87" s="8" t="s">
        <v>51</v>
      </c>
      <c r="D87" s="8" t="s">
        <v>216</v>
      </c>
      <c r="E87" s="8" t="s">
        <v>222</v>
      </c>
      <c r="F87" s="22">
        <v>278000000</v>
      </c>
      <c r="G87" s="18">
        <v>200</v>
      </c>
      <c r="H87" s="21" t="s">
        <v>221</v>
      </c>
      <c r="I87" s="10">
        <v>640</v>
      </c>
      <c r="J87" s="8" t="s">
        <v>221</v>
      </c>
      <c r="K87" s="8" t="s">
        <v>221</v>
      </c>
      <c r="L87" s="10">
        <v>600</v>
      </c>
      <c r="M87" s="13">
        <v>3</v>
      </c>
      <c r="N87" s="10">
        <v>1450000000000</v>
      </c>
      <c r="O87" s="15">
        <f t="shared" si="2"/>
        <v>40</v>
      </c>
      <c r="P87" s="29">
        <f t="shared" si="3"/>
        <v>5215.8273381294966</v>
      </c>
    </row>
    <row r="88" spans="1:16" x14ac:dyDescent="0.35">
      <c r="A88" s="21" t="s">
        <v>115</v>
      </c>
      <c r="B88" s="8" t="s">
        <v>4</v>
      </c>
      <c r="C88" s="8" t="s">
        <v>25</v>
      </c>
      <c r="D88" s="8" t="s">
        <v>216</v>
      </c>
      <c r="E88" s="8" t="s">
        <v>222</v>
      </c>
      <c r="F88" s="22">
        <v>89000000</v>
      </c>
      <c r="G88" s="18">
        <v>200</v>
      </c>
      <c r="H88" s="21" t="s">
        <v>221</v>
      </c>
      <c r="I88" s="10">
        <v>560</v>
      </c>
      <c r="J88" s="8" t="s">
        <v>221</v>
      </c>
      <c r="K88" s="8" t="s">
        <v>221</v>
      </c>
      <c r="L88" s="10">
        <v>500</v>
      </c>
      <c r="M88" s="13">
        <v>35</v>
      </c>
      <c r="N88" s="10">
        <v>430000000000</v>
      </c>
      <c r="O88" s="15">
        <f t="shared" si="2"/>
        <v>60</v>
      </c>
      <c r="P88" s="29">
        <f t="shared" si="3"/>
        <v>4831.4606741573034</v>
      </c>
    </row>
    <row r="89" spans="1:16" x14ac:dyDescent="0.35">
      <c r="A89" s="21" t="s">
        <v>116</v>
      </c>
      <c r="B89" s="8" t="s">
        <v>4</v>
      </c>
      <c r="C89" s="8" t="s">
        <v>25</v>
      </c>
      <c r="D89" s="8" t="s">
        <v>214</v>
      </c>
      <c r="E89" s="8" t="s">
        <v>220</v>
      </c>
      <c r="F89" s="22">
        <v>45000000</v>
      </c>
      <c r="G89" s="18">
        <v>300</v>
      </c>
      <c r="H89" s="21" t="s">
        <v>224</v>
      </c>
      <c r="I89" s="10">
        <v>720</v>
      </c>
      <c r="J89" s="8" t="s">
        <v>221</v>
      </c>
      <c r="K89" s="8" t="s">
        <v>221</v>
      </c>
      <c r="L89" s="10">
        <v>600</v>
      </c>
      <c r="M89" s="13">
        <v>4</v>
      </c>
      <c r="N89" s="10">
        <v>320000000000</v>
      </c>
      <c r="O89" s="15">
        <f t="shared" si="2"/>
        <v>120</v>
      </c>
      <c r="P89" s="29">
        <f t="shared" si="3"/>
        <v>7111.1111111111113</v>
      </c>
    </row>
    <row r="90" spans="1:16" x14ac:dyDescent="0.35">
      <c r="A90" s="21" t="s">
        <v>117</v>
      </c>
      <c r="B90" s="8" t="s">
        <v>7</v>
      </c>
      <c r="C90" s="8" t="s">
        <v>80</v>
      </c>
      <c r="D90" s="8" t="s">
        <v>215</v>
      </c>
      <c r="E90" s="8" t="s">
        <v>221</v>
      </c>
      <c r="F90" s="22">
        <v>5300000</v>
      </c>
      <c r="G90" s="18">
        <v>2000</v>
      </c>
      <c r="H90" s="21" t="s">
        <v>219</v>
      </c>
      <c r="I90" s="10">
        <v>5200</v>
      </c>
      <c r="J90" s="8" t="s">
        <v>219</v>
      </c>
      <c r="K90" s="8" t="s">
        <v>219</v>
      </c>
      <c r="L90" s="10">
        <v>3000</v>
      </c>
      <c r="M90" s="13">
        <v>3</v>
      </c>
      <c r="N90" s="10">
        <v>720000000000</v>
      </c>
      <c r="O90" s="15">
        <f t="shared" si="2"/>
        <v>2200</v>
      </c>
      <c r="P90" s="29">
        <f t="shared" si="3"/>
        <v>135849.05660377358</v>
      </c>
    </row>
    <row r="91" spans="1:16" x14ac:dyDescent="0.35">
      <c r="A91" s="21" t="s">
        <v>118</v>
      </c>
      <c r="B91" s="8" t="s">
        <v>4</v>
      </c>
      <c r="C91" s="8" t="s">
        <v>25</v>
      </c>
      <c r="D91" s="8" t="s">
        <v>215</v>
      </c>
      <c r="E91" s="8" t="s">
        <v>221</v>
      </c>
      <c r="F91" s="22">
        <v>9800000</v>
      </c>
      <c r="G91" s="18">
        <v>1700</v>
      </c>
      <c r="H91" s="21" t="s">
        <v>219</v>
      </c>
      <c r="I91" s="10">
        <v>4800</v>
      </c>
      <c r="J91" s="8" t="s">
        <v>219</v>
      </c>
      <c r="K91" s="8" t="s">
        <v>219</v>
      </c>
      <c r="L91" s="10">
        <v>3500</v>
      </c>
      <c r="M91" s="13">
        <v>3</v>
      </c>
      <c r="N91" s="10">
        <v>610000000000</v>
      </c>
      <c r="O91" s="15">
        <f t="shared" si="2"/>
        <v>1300</v>
      </c>
      <c r="P91" s="29">
        <f t="shared" si="3"/>
        <v>62244.897959183676</v>
      </c>
    </row>
    <row r="92" spans="1:16" x14ac:dyDescent="0.35">
      <c r="A92" s="21" t="s">
        <v>119</v>
      </c>
      <c r="B92" s="8" t="s">
        <v>7</v>
      </c>
      <c r="C92" s="8" t="s">
        <v>8</v>
      </c>
      <c r="D92" s="8" t="s">
        <v>215</v>
      </c>
      <c r="E92" s="8" t="s">
        <v>221</v>
      </c>
      <c r="F92" s="22">
        <v>59000000</v>
      </c>
      <c r="G92" s="18">
        <v>0</v>
      </c>
      <c r="H92" s="21" t="s">
        <v>219</v>
      </c>
      <c r="I92" s="10">
        <v>3200</v>
      </c>
      <c r="J92" s="8" t="s">
        <v>220</v>
      </c>
      <c r="K92" s="8" t="s">
        <v>220</v>
      </c>
      <c r="L92" s="10">
        <v>2500</v>
      </c>
      <c r="M92" s="13">
        <v>3</v>
      </c>
      <c r="N92" s="10">
        <v>2300000000000</v>
      </c>
      <c r="O92" s="15">
        <f t="shared" si="2"/>
        <v>700</v>
      </c>
      <c r="P92" s="29">
        <f t="shared" si="3"/>
        <v>38983.050847457627</v>
      </c>
    </row>
    <row r="93" spans="1:16" x14ac:dyDescent="0.35">
      <c r="A93" s="21" t="s">
        <v>120</v>
      </c>
      <c r="B93" s="8" t="s">
        <v>19</v>
      </c>
      <c r="C93" s="8" t="s">
        <v>20</v>
      </c>
      <c r="D93" s="8" t="s">
        <v>214</v>
      </c>
      <c r="E93" s="8" t="s">
        <v>220</v>
      </c>
      <c r="F93" s="22">
        <v>2800000</v>
      </c>
      <c r="G93" s="18">
        <v>300</v>
      </c>
      <c r="H93" s="21" t="s">
        <v>224</v>
      </c>
      <c r="I93" s="10">
        <v>880</v>
      </c>
      <c r="J93" s="8" t="s">
        <v>221</v>
      </c>
      <c r="K93" s="8" t="s">
        <v>224</v>
      </c>
      <c r="L93" s="10">
        <v>900</v>
      </c>
      <c r="M93" s="13">
        <v>6</v>
      </c>
      <c r="N93" s="10">
        <v>22000000000</v>
      </c>
      <c r="O93" s="15">
        <f t="shared" si="2"/>
        <v>-20</v>
      </c>
      <c r="P93" s="29">
        <f t="shared" si="3"/>
        <v>7857.1428571428569</v>
      </c>
    </row>
    <row r="94" spans="1:16" x14ac:dyDescent="0.35">
      <c r="A94" s="21" t="s">
        <v>121</v>
      </c>
      <c r="B94" s="8" t="s">
        <v>4</v>
      </c>
      <c r="C94" s="8" t="s">
        <v>67</v>
      </c>
      <c r="D94" s="8" t="s">
        <v>215</v>
      </c>
      <c r="E94" s="8" t="s">
        <v>221</v>
      </c>
      <c r="F94" s="22">
        <v>123000000</v>
      </c>
      <c r="G94" s="18">
        <v>1500</v>
      </c>
      <c r="H94" s="21" t="s">
        <v>219</v>
      </c>
      <c r="I94" s="10">
        <v>4200</v>
      </c>
      <c r="J94" s="8" t="s">
        <v>219</v>
      </c>
      <c r="K94" s="8" t="s">
        <v>219</v>
      </c>
      <c r="L94" s="10">
        <v>3200</v>
      </c>
      <c r="M94" s="13">
        <v>3</v>
      </c>
      <c r="N94" s="10">
        <v>4300000000000</v>
      </c>
      <c r="O94" s="15">
        <f t="shared" si="2"/>
        <v>1000</v>
      </c>
      <c r="P94" s="29">
        <f t="shared" si="3"/>
        <v>34959.349593495936</v>
      </c>
    </row>
    <row r="95" spans="1:16" x14ac:dyDescent="0.35">
      <c r="A95" s="21" t="s">
        <v>122</v>
      </c>
      <c r="B95" s="8" t="s">
        <v>4</v>
      </c>
      <c r="C95" s="8" t="s">
        <v>25</v>
      </c>
      <c r="D95" s="8" t="s">
        <v>214</v>
      </c>
      <c r="E95" s="8" t="s">
        <v>220</v>
      </c>
      <c r="F95" s="22">
        <v>11000000</v>
      </c>
      <c r="G95" s="18">
        <v>320</v>
      </c>
      <c r="H95" s="21" t="s">
        <v>224</v>
      </c>
      <c r="I95" s="10">
        <v>720</v>
      </c>
      <c r="J95" s="8" t="s">
        <v>221</v>
      </c>
      <c r="K95" s="8" t="s">
        <v>221</v>
      </c>
      <c r="L95" s="10">
        <v>520</v>
      </c>
      <c r="M95" s="13">
        <v>3</v>
      </c>
      <c r="N95" s="10">
        <v>60000000000</v>
      </c>
      <c r="O95" s="15">
        <f t="shared" si="2"/>
        <v>200</v>
      </c>
      <c r="P95" s="29">
        <f t="shared" si="3"/>
        <v>5454.545454545455</v>
      </c>
    </row>
    <row r="96" spans="1:16" x14ac:dyDescent="0.35">
      <c r="A96" s="21" t="s">
        <v>123</v>
      </c>
      <c r="B96" s="8" t="s">
        <v>4</v>
      </c>
      <c r="C96" s="8" t="s">
        <v>124</v>
      </c>
      <c r="D96" s="8" t="s">
        <v>216</v>
      </c>
      <c r="E96" s="8" t="s">
        <v>222</v>
      </c>
      <c r="F96" s="22">
        <v>20000000</v>
      </c>
      <c r="G96" s="18">
        <v>250</v>
      </c>
      <c r="H96" s="21" t="s">
        <v>221</v>
      </c>
      <c r="I96" s="10">
        <v>900</v>
      </c>
      <c r="J96" s="8" t="s">
        <v>221</v>
      </c>
      <c r="K96" s="8" t="s">
        <v>221</v>
      </c>
      <c r="L96" s="10">
        <v>650</v>
      </c>
      <c r="M96" s="13">
        <v>6</v>
      </c>
      <c r="N96" s="10">
        <v>300000000000</v>
      </c>
      <c r="O96" s="15">
        <f t="shared" si="2"/>
        <v>250</v>
      </c>
      <c r="P96" s="29">
        <f t="shared" si="3"/>
        <v>15000</v>
      </c>
    </row>
    <row r="97" spans="1:16" x14ac:dyDescent="0.35">
      <c r="A97" s="21" t="s">
        <v>125</v>
      </c>
      <c r="B97" s="8" t="s">
        <v>10</v>
      </c>
      <c r="C97" s="8" t="s">
        <v>56</v>
      </c>
      <c r="D97" s="8" t="s">
        <v>214</v>
      </c>
      <c r="E97" s="8" t="s">
        <v>220</v>
      </c>
      <c r="F97" s="22">
        <v>55000000</v>
      </c>
      <c r="G97" s="18">
        <v>130</v>
      </c>
      <c r="H97" s="21" t="s">
        <v>221</v>
      </c>
      <c r="I97" s="10">
        <v>360</v>
      </c>
      <c r="J97" s="8" t="s">
        <v>239</v>
      </c>
      <c r="K97" s="8" t="s">
        <v>221</v>
      </c>
      <c r="L97" s="10">
        <v>350</v>
      </c>
      <c r="M97" s="13">
        <v>6</v>
      </c>
      <c r="N97" s="10">
        <v>120000000000</v>
      </c>
      <c r="O97" s="15">
        <f t="shared" si="2"/>
        <v>10</v>
      </c>
      <c r="P97" s="29">
        <f t="shared" si="3"/>
        <v>2181.818181818182</v>
      </c>
    </row>
    <row r="98" spans="1:16" x14ac:dyDescent="0.35">
      <c r="A98" s="21" t="s">
        <v>126</v>
      </c>
      <c r="B98" s="8" t="s">
        <v>13</v>
      </c>
      <c r="C98" s="8" t="s">
        <v>103</v>
      </c>
      <c r="D98" s="8" t="s">
        <v>214</v>
      </c>
      <c r="E98" s="8" t="s">
        <v>220</v>
      </c>
      <c r="F98" s="22">
        <v>130000</v>
      </c>
      <c r="G98" s="18">
        <v>120</v>
      </c>
      <c r="H98" s="21" t="s">
        <v>221</v>
      </c>
      <c r="I98" s="10">
        <v>320</v>
      </c>
      <c r="J98" s="8" t="s">
        <v>239</v>
      </c>
      <c r="K98" s="8" t="s">
        <v>239</v>
      </c>
      <c r="L98" s="10">
        <v>300</v>
      </c>
      <c r="M98" s="13">
        <v>4</v>
      </c>
      <c r="N98" s="10">
        <v>350000000</v>
      </c>
      <c r="O98" s="15">
        <f t="shared" si="2"/>
        <v>20</v>
      </c>
      <c r="P98" s="29">
        <f t="shared" si="3"/>
        <v>2692.3076923076924</v>
      </c>
    </row>
    <row r="99" spans="1:16" x14ac:dyDescent="0.35">
      <c r="A99" s="21" t="s">
        <v>127</v>
      </c>
      <c r="B99" s="8" t="s">
        <v>4</v>
      </c>
      <c r="C99" s="8" t="s">
        <v>67</v>
      </c>
      <c r="D99" s="8" t="s">
        <v>213</v>
      </c>
      <c r="E99" s="8" t="s">
        <v>219</v>
      </c>
      <c r="F99" s="22">
        <v>26000000</v>
      </c>
      <c r="G99" s="18">
        <v>0</v>
      </c>
      <c r="H99" s="21" t="s">
        <v>244</v>
      </c>
      <c r="I99" s="10">
        <v>0</v>
      </c>
      <c r="J99" s="8" t="s">
        <v>239</v>
      </c>
      <c r="K99" s="8" t="s">
        <v>239</v>
      </c>
      <c r="L99" s="10">
        <v>180</v>
      </c>
      <c r="M99" s="13">
        <v>8</v>
      </c>
      <c r="N99" s="10">
        <v>35000000000</v>
      </c>
      <c r="O99" s="15">
        <f t="shared" si="2"/>
        <v>-180</v>
      </c>
      <c r="P99" s="29">
        <f t="shared" si="3"/>
        <v>1346.1538461538462</v>
      </c>
    </row>
    <row r="100" spans="1:16" x14ac:dyDescent="0.35">
      <c r="A100" s="21" t="s">
        <v>128</v>
      </c>
      <c r="B100" s="8" t="s">
        <v>4</v>
      </c>
      <c r="C100" s="8" t="s">
        <v>67</v>
      </c>
      <c r="D100" s="8" t="s">
        <v>215</v>
      </c>
      <c r="E100" s="8" t="s">
        <v>221</v>
      </c>
      <c r="F100" s="22">
        <v>52000000</v>
      </c>
      <c r="G100" s="18">
        <v>1700</v>
      </c>
      <c r="H100" s="21" t="s">
        <v>219</v>
      </c>
      <c r="I100" s="10">
        <v>4000</v>
      </c>
      <c r="J100" s="8" t="s">
        <v>219</v>
      </c>
      <c r="K100" s="8" t="s">
        <v>219</v>
      </c>
      <c r="L100" s="10">
        <v>2800</v>
      </c>
      <c r="M100" s="13">
        <v>3</v>
      </c>
      <c r="N100" s="10">
        <v>1850000000000</v>
      </c>
      <c r="O100" s="15">
        <f t="shared" si="2"/>
        <v>1200</v>
      </c>
      <c r="P100" s="29">
        <f t="shared" si="3"/>
        <v>35576.923076923078</v>
      </c>
    </row>
    <row r="101" spans="1:16" x14ac:dyDescent="0.35">
      <c r="A101" s="21" t="s">
        <v>129</v>
      </c>
      <c r="B101" s="8" t="s">
        <v>4</v>
      </c>
      <c r="C101" s="8" t="s">
        <v>25</v>
      </c>
      <c r="D101" s="8" t="s">
        <v>215</v>
      </c>
      <c r="E101" s="8" t="s">
        <v>221</v>
      </c>
      <c r="F101" s="22">
        <v>4300000</v>
      </c>
      <c r="G101" s="18">
        <v>1600</v>
      </c>
      <c r="H101" s="21" t="s">
        <v>219</v>
      </c>
      <c r="I101" s="10">
        <v>4800</v>
      </c>
      <c r="J101" s="8" t="s">
        <v>219</v>
      </c>
      <c r="K101" s="8" t="s">
        <v>220</v>
      </c>
      <c r="L101" s="10">
        <v>2500</v>
      </c>
      <c r="M101" s="13">
        <v>2</v>
      </c>
      <c r="N101" s="10">
        <v>230000000000</v>
      </c>
      <c r="O101" s="15">
        <f t="shared" si="2"/>
        <v>2300</v>
      </c>
      <c r="P101" s="29">
        <f t="shared" si="3"/>
        <v>53488.372093023259</v>
      </c>
    </row>
    <row r="102" spans="1:16" x14ac:dyDescent="0.35">
      <c r="A102" s="21" t="s">
        <v>130</v>
      </c>
      <c r="B102" s="8" t="s">
        <v>4</v>
      </c>
      <c r="C102" s="8" t="s">
        <v>124</v>
      </c>
      <c r="D102" s="8" t="s">
        <v>214</v>
      </c>
      <c r="E102" s="8" t="s">
        <v>220</v>
      </c>
      <c r="F102" s="22">
        <v>7200000</v>
      </c>
      <c r="G102" s="18">
        <v>200</v>
      </c>
      <c r="H102" s="21" t="s">
        <v>221</v>
      </c>
      <c r="I102" s="10">
        <v>480</v>
      </c>
      <c r="J102" s="8" t="s">
        <v>239</v>
      </c>
      <c r="K102" s="8" t="s">
        <v>239</v>
      </c>
      <c r="L102" s="10">
        <v>300</v>
      </c>
      <c r="M102" s="13">
        <v>6</v>
      </c>
      <c r="N102" s="10">
        <v>22000000000</v>
      </c>
      <c r="O102" s="15">
        <f t="shared" si="2"/>
        <v>180</v>
      </c>
      <c r="P102" s="29">
        <f t="shared" si="3"/>
        <v>3055.5555555555557</v>
      </c>
    </row>
    <row r="103" spans="1:16" x14ac:dyDescent="0.35">
      <c r="A103" s="21" t="s">
        <v>131</v>
      </c>
      <c r="B103" s="8" t="s">
        <v>4</v>
      </c>
      <c r="C103" s="8" t="s">
        <v>51</v>
      </c>
      <c r="D103" s="8" t="s">
        <v>214</v>
      </c>
      <c r="E103" s="8" t="s">
        <v>220</v>
      </c>
      <c r="F103" s="22">
        <v>7700000</v>
      </c>
      <c r="G103" s="18">
        <v>180</v>
      </c>
      <c r="H103" s="21" t="s">
        <v>221</v>
      </c>
      <c r="I103" s="10">
        <v>400</v>
      </c>
      <c r="J103" s="8" t="s">
        <v>239</v>
      </c>
      <c r="K103" s="8" t="s">
        <v>239</v>
      </c>
      <c r="L103" s="10">
        <v>320</v>
      </c>
      <c r="M103" s="13">
        <v>4</v>
      </c>
      <c r="N103" s="10">
        <v>27000000000</v>
      </c>
      <c r="O103" s="15">
        <f t="shared" si="2"/>
        <v>80</v>
      </c>
      <c r="P103" s="29">
        <f t="shared" si="3"/>
        <v>3506.4935064935066</v>
      </c>
    </row>
    <row r="104" spans="1:16" x14ac:dyDescent="0.35">
      <c r="A104" s="21" t="s">
        <v>132</v>
      </c>
      <c r="B104" s="8" t="s">
        <v>7</v>
      </c>
      <c r="C104" s="8" t="s">
        <v>80</v>
      </c>
      <c r="D104" s="8" t="s">
        <v>215</v>
      </c>
      <c r="E104" s="8" t="s">
        <v>221</v>
      </c>
      <c r="F104" s="22">
        <v>1800000</v>
      </c>
      <c r="G104" s="18">
        <v>800</v>
      </c>
      <c r="H104" s="21" t="s">
        <v>220</v>
      </c>
      <c r="I104" s="10">
        <v>2000</v>
      </c>
      <c r="J104" s="8" t="s">
        <v>224</v>
      </c>
      <c r="K104" s="8" t="s">
        <v>224</v>
      </c>
      <c r="L104" s="10">
        <v>1400</v>
      </c>
      <c r="M104" s="13">
        <v>4</v>
      </c>
      <c r="N104" s="10">
        <v>60000000000</v>
      </c>
      <c r="O104" s="15">
        <f t="shared" si="2"/>
        <v>600</v>
      </c>
      <c r="P104" s="29">
        <f t="shared" si="3"/>
        <v>33333.333333333336</v>
      </c>
    </row>
    <row r="105" spans="1:16" x14ac:dyDescent="0.35">
      <c r="A105" s="21" t="s">
        <v>133</v>
      </c>
      <c r="B105" s="8" t="s">
        <v>4</v>
      </c>
      <c r="C105" s="8" t="s">
        <v>25</v>
      </c>
      <c r="D105" s="8" t="s">
        <v>214</v>
      </c>
      <c r="E105" s="8" t="s">
        <v>220</v>
      </c>
      <c r="F105" s="22">
        <v>5600000</v>
      </c>
      <c r="G105" s="18">
        <v>50</v>
      </c>
      <c r="H105" s="21" t="s">
        <v>244</v>
      </c>
      <c r="I105" s="10">
        <v>120</v>
      </c>
      <c r="J105" s="8" t="s">
        <v>239</v>
      </c>
      <c r="K105" s="8" t="s">
        <v>220</v>
      </c>
      <c r="L105" s="10">
        <v>800</v>
      </c>
      <c r="M105" s="13">
        <v>120</v>
      </c>
      <c r="N105" s="10">
        <v>25000000000</v>
      </c>
      <c r="O105" s="15">
        <f t="shared" si="2"/>
        <v>-680</v>
      </c>
      <c r="P105" s="29">
        <f t="shared" si="3"/>
        <v>4464.2857142857147</v>
      </c>
    </row>
    <row r="106" spans="1:16" x14ac:dyDescent="0.35">
      <c r="A106" s="21" t="s">
        <v>134</v>
      </c>
      <c r="B106" s="8" t="s">
        <v>10</v>
      </c>
      <c r="C106" s="8" t="s">
        <v>48</v>
      </c>
      <c r="D106" s="8" t="s">
        <v>213</v>
      </c>
      <c r="E106" s="8" t="s">
        <v>219</v>
      </c>
      <c r="F106" s="22">
        <v>2300000</v>
      </c>
      <c r="G106" s="18">
        <v>150</v>
      </c>
      <c r="H106" s="21" t="s">
        <v>221</v>
      </c>
      <c r="I106" s="10">
        <v>360</v>
      </c>
      <c r="J106" s="8" t="s">
        <v>239</v>
      </c>
      <c r="K106" s="8" t="s">
        <v>239</v>
      </c>
      <c r="L106" s="10">
        <v>300</v>
      </c>
      <c r="M106" s="13">
        <v>5</v>
      </c>
      <c r="N106" s="10">
        <v>5000000000</v>
      </c>
      <c r="O106" s="15">
        <f t="shared" si="2"/>
        <v>60</v>
      </c>
      <c r="P106" s="29">
        <f t="shared" si="3"/>
        <v>2173.913043478261</v>
      </c>
    </row>
    <row r="107" spans="1:16" x14ac:dyDescent="0.35">
      <c r="A107" s="21" t="s">
        <v>135</v>
      </c>
      <c r="B107" s="8" t="s">
        <v>10</v>
      </c>
      <c r="C107" s="8" t="s">
        <v>42</v>
      </c>
      <c r="D107" s="8" t="s">
        <v>213</v>
      </c>
      <c r="E107" s="8" t="s">
        <v>219</v>
      </c>
      <c r="F107" s="22">
        <v>5400000</v>
      </c>
      <c r="G107" s="18">
        <v>90</v>
      </c>
      <c r="H107" s="21" t="s">
        <v>244</v>
      </c>
      <c r="I107" s="10">
        <v>210</v>
      </c>
      <c r="J107" s="8" t="s">
        <v>239</v>
      </c>
      <c r="K107" s="8" t="s">
        <v>239</v>
      </c>
      <c r="L107" s="10">
        <v>250</v>
      </c>
      <c r="M107" s="13">
        <v>6</v>
      </c>
      <c r="N107" s="10">
        <v>6000000000</v>
      </c>
      <c r="O107" s="15">
        <f t="shared" si="2"/>
        <v>-40</v>
      </c>
      <c r="P107" s="29">
        <f t="shared" si="3"/>
        <v>1111.1111111111111</v>
      </c>
    </row>
    <row r="108" spans="1:16" x14ac:dyDescent="0.35">
      <c r="A108" s="21" t="s">
        <v>136</v>
      </c>
      <c r="B108" s="8" t="s">
        <v>10</v>
      </c>
      <c r="C108" s="8" t="s">
        <v>11</v>
      </c>
      <c r="D108" s="8" t="s">
        <v>214</v>
      </c>
      <c r="E108" s="8" t="s">
        <v>220</v>
      </c>
      <c r="F108" s="22">
        <v>7200000</v>
      </c>
      <c r="G108" s="18">
        <v>300</v>
      </c>
      <c r="H108" s="21" t="s">
        <v>224</v>
      </c>
      <c r="I108" s="10">
        <v>720</v>
      </c>
      <c r="J108" s="8" t="s">
        <v>221</v>
      </c>
      <c r="K108" s="8" t="s">
        <v>221</v>
      </c>
      <c r="L108" s="10">
        <v>450</v>
      </c>
      <c r="M108" s="13">
        <v>5</v>
      </c>
      <c r="N108" s="10">
        <v>85000000000</v>
      </c>
      <c r="O108" s="15">
        <f t="shared" si="2"/>
        <v>270</v>
      </c>
      <c r="P108" s="29">
        <f t="shared" si="3"/>
        <v>11805.555555555555</v>
      </c>
    </row>
    <row r="109" spans="1:16" x14ac:dyDescent="0.35">
      <c r="A109" s="21" t="s">
        <v>137</v>
      </c>
      <c r="B109" s="8" t="s">
        <v>7</v>
      </c>
      <c r="C109" s="8" t="s">
        <v>30</v>
      </c>
      <c r="D109" s="8" t="s">
        <v>215</v>
      </c>
      <c r="E109" s="8" t="s">
        <v>221</v>
      </c>
      <c r="F109" s="22">
        <v>40000</v>
      </c>
      <c r="G109" s="18">
        <v>0</v>
      </c>
      <c r="H109" s="21" t="s">
        <v>219</v>
      </c>
      <c r="I109" s="10">
        <v>6500</v>
      </c>
      <c r="J109" s="8" t="s">
        <v>219</v>
      </c>
      <c r="K109" s="8" t="s">
        <v>219</v>
      </c>
      <c r="L109" s="10">
        <v>4200</v>
      </c>
      <c r="M109" s="13">
        <v>3</v>
      </c>
      <c r="N109" s="10">
        <v>6000000000</v>
      </c>
      <c r="O109" s="15">
        <f t="shared" si="2"/>
        <v>2300</v>
      </c>
      <c r="P109" s="29">
        <f t="shared" si="3"/>
        <v>150000</v>
      </c>
    </row>
    <row r="110" spans="1:16" x14ac:dyDescent="0.35">
      <c r="A110" s="21" t="s">
        <v>138</v>
      </c>
      <c r="B110" s="8" t="s">
        <v>7</v>
      </c>
      <c r="C110" s="8" t="s">
        <v>80</v>
      </c>
      <c r="D110" s="8" t="s">
        <v>215</v>
      </c>
      <c r="E110" s="8" t="s">
        <v>221</v>
      </c>
      <c r="F110" s="22">
        <v>2800000</v>
      </c>
      <c r="G110" s="18">
        <v>900</v>
      </c>
      <c r="H110" s="21" t="s">
        <v>220</v>
      </c>
      <c r="I110" s="10">
        <v>2100</v>
      </c>
      <c r="J110" s="8" t="s">
        <v>224</v>
      </c>
      <c r="K110" s="8" t="s">
        <v>224</v>
      </c>
      <c r="L110" s="10">
        <v>1500</v>
      </c>
      <c r="M110" s="13">
        <v>4</v>
      </c>
      <c r="N110" s="10">
        <v>90000000000</v>
      </c>
      <c r="O110" s="15">
        <f t="shared" si="2"/>
        <v>600</v>
      </c>
      <c r="P110" s="29">
        <f t="shared" si="3"/>
        <v>32142.857142857141</v>
      </c>
    </row>
    <row r="111" spans="1:16" x14ac:dyDescent="0.35">
      <c r="A111" s="21" t="s">
        <v>139</v>
      </c>
      <c r="B111" s="8" t="s">
        <v>7</v>
      </c>
      <c r="C111" s="8" t="s">
        <v>30</v>
      </c>
      <c r="D111" s="8" t="s">
        <v>215</v>
      </c>
      <c r="E111" s="8" t="s">
        <v>221</v>
      </c>
      <c r="F111" s="22">
        <v>660000</v>
      </c>
      <c r="G111" s="18">
        <v>2200</v>
      </c>
      <c r="H111" s="21" t="s">
        <v>219</v>
      </c>
      <c r="I111" s="10">
        <v>6000</v>
      </c>
      <c r="J111" s="8" t="s">
        <v>219</v>
      </c>
      <c r="K111" s="8" t="s">
        <v>219</v>
      </c>
      <c r="L111" s="10">
        <v>3500</v>
      </c>
      <c r="M111" s="13">
        <v>3</v>
      </c>
      <c r="N111" s="10">
        <v>125000000000</v>
      </c>
      <c r="O111" s="15">
        <f t="shared" si="2"/>
        <v>2500</v>
      </c>
      <c r="P111" s="29">
        <f t="shared" si="3"/>
        <v>189393.93939393939</v>
      </c>
    </row>
    <row r="112" spans="1:16" x14ac:dyDescent="0.35">
      <c r="A112" s="21" t="s">
        <v>140</v>
      </c>
      <c r="B112" s="8" t="s">
        <v>10</v>
      </c>
      <c r="C112" s="8" t="s">
        <v>56</v>
      </c>
      <c r="D112" s="8" t="s">
        <v>213</v>
      </c>
      <c r="E112" s="8" t="s">
        <v>219</v>
      </c>
      <c r="F112" s="22">
        <v>30000000</v>
      </c>
      <c r="G112" s="18">
        <v>60</v>
      </c>
      <c r="H112" s="21" t="s">
        <v>244</v>
      </c>
      <c r="I112" s="10">
        <v>180</v>
      </c>
      <c r="J112" s="8" t="s">
        <v>239</v>
      </c>
      <c r="K112" s="8" t="s">
        <v>239</v>
      </c>
      <c r="L112" s="10">
        <v>220</v>
      </c>
      <c r="M112" s="13">
        <v>7</v>
      </c>
      <c r="N112" s="10">
        <v>22000000000</v>
      </c>
      <c r="O112" s="15">
        <f t="shared" si="2"/>
        <v>-40</v>
      </c>
      <c r="P112" s="29">
        <f t="shared" si="3"/>
        <v>733.33333333333337</v>
      </c>
    </row>
    <row r="113" spans="1:16" x14ac:dyDescent="0.35">
      <c r="A113" s="21" t="s">
        <v>141</v>
      </c>
      <c r="B113" s="8" t="s">
        <v>10</v>
      </c>
      <c r="C113" s="8" t="s">
        <v>48</v>
      </c>
      <c r="D113" s="8" t="s">
        <v>213</v>
      </c>
      <c r="E113" s="8" t="s">
        <v>219</v>
      </c>
      <c r="F113" s="22">
        <v>21000000</v>
      </c>
      <c r="G113" s="18">
        <v>50</v>
      </c>
      <c r="H113" s="21" t="s">
        <v>244</v>
      </c>
      <c r="I113" s="10">
        <v>140</v>
      </c>
      <c r="J113" s="8" t="s">
        <v>239</v>
      </c>
      <c r="K113" s="8" t="s">
        <v>239</v>
      </c>
      <c r="L113" s="10">
        <v>200</v>
      </c>
      <c r="M113" s="13">
        <v>8</v>
      </c>
      <c r="N113" s="10">
        <v>18000000000</v>
      </c>
      <c r="O113" s="15">
        <f t="shared" si="2"/>
        <v>-60</v>
      </c>
      <c r="P113" s="29">
        <f t="shared" si="3"/>
        <v>857.14285714285711</v>
      </c>
    </row>
    <row r="114" spans="1:16" x14ac:dyDescent="0.35">
      <c r="A114" s="21" t="s">
        <v>142</v>
      </c>
      <c r="B114" s="8" t="s">
        <v>4</v>
      </c>
      <c r="C114" s="8" t="s">
        <v>51</v>
      </c>
      <c r="D114" s="8" t="s">
        <v>217</v>
      </c>
      <c r="E114" s="8" t="s">
        <v>222</v>
      </c>
      <c r="F114" s="22">
        <v>34000000</v>
      </c>
      <c r="G114" s="18">
        <v>400</v>
      </c>
      <c r="H114" s="21" t="s">
        <v>224</v>
      </c>
      <c r="I114" s="10">
        <v>1200</v>
      </c>
      <c r="J114" s="8" t="s">
        <v>224</v>
      </c>
      <c r="K114" s="8" t="s">
        <v>221</v>
      </c>
      <c r="L114" s="10">
        <v>900</v>
      </c>
      <c r="M114" s="13">
        <v>3</v>
      </c>
      <c r="N114" s="10">
        <v>440000000000</v>
      </c>
      <c r="O114" s="15">
        <f t="shared" si="2"/>
        <v>300</v>
      </c>
      <c r="P114" s="29">
        <f t="shared" si="3"/>
        <v>12941.176470588236</v>
      </c>
    </row>
    <row r="115" spans="1:16" x14ac:dyDescent="0.35">
      <c r="A115" s="21" t="s">
        <v>143</v>
      </c>
      <c r="B115" s="8" t="s">
        <v>4</v>
      </c>
      <c r="C115" s="8" t="s">
        <v>5</v>
      </c>
      <c r="D115" s="8" t="s">
        <v>216</v>
      </c>
      <c r="E115" s="8" t="s">
        <v>222</v>
      </c>
      <c r="F115" s="22">
        <v>520000</v>
      </c>
      <c r="G115" s="18">
        <v>500</v>
      </c>
      <c r="H115" s="21" t="s">
        <v>224</v>
      </c>
      <c r="I115" s="10">
        <v>1350</v>
      </c>
      <c r="J115" s="8" t="s">
        <v>221</v>
      </c>
      <c r="K115" s="8" t="s">
        <v>220</v>
      </c>
      <c r="L115" s="10">
        <v>1600</v>
      </c>
      <c r="M115" s="13">
        <v>4</v>
      </c>
      <c r="N115" s="10">
        <v>8000000000</v>
      </c>
      <c r="O115" s="15">
        <f t="shared" si="2"/>
        <v>-250</v>
      </c>
      <c r="P115" s="29">
        <f t="shared" si="3"/>
        <v>15384.615384615385</v>
      </c>
    </row>
    <row r="116" spans="1:16" x14ac:dyDescent="0.35">
      <c r="A116" s="21" t="s">
        <v>144</v>
      </c>
      <c r="B116" s="8" t="s">
        <v>10</v>
      </c>
      <c r="C116" s="8" t="s">
        <v>42</v>
      </c>
      <c r="D116" s="8" t="s">
        <v>213</v>
      </c>
      <c r="E116" s="8" t="s">
        <v>219</v>
      </c>
      <c r="F116" s="22">
        <v>24000000</v>
      </c>
      <c r="G116" s="18">
        <v>70</v>
      </c>
      <c r="H116" s="21" t="s">
        <v>244</v>
      </c>
      <c r="I116" s="10">
        <v>170</v>
      </c>
      <c r="J116" s="8" t="s">
        <v>239</v>
      </c>
      <c r="K116" s="8" t="s">
        <v>239</v>
      </c>
      <c r="L116" s="10">
        <v>220</v>
      </c>
      <c r="M116" s="13">
        <v>4</v>
      </c>
      <c r="N116" s="10">
        <v>32000000000</v>
      </c>
      <c r="O116" s="15">
        <f t="shared" si="2"/>
        <v>-50</v>
      </c>
      <c r="P116" s="29">
        <f t="shared" si="3"/>
        <v>1333.3333333333333</v>
      </c>
    </row>
    <row r="117" spans="1:16" x14ac:dyDescent="0.35">
      <c r="A117" s="21" t="s">
        <v>145</v>
      </c>
      <c r="B117" s="8" t="s">
        <v>7</v>
      </c>
      <c r="C117" s="8" t="s">
        <v>8</v>
      </c>
      <c r="D117" s="8" t="s">
        <v>215</v>
      </c>
      <c r="E117" s="8" t="s">
        <v>221</v>
      </c>
      <c r="F117" s="22">
        <v>540000</v>
      </c>
      <c r="G117" s="18">
        <v>1000</v>
      </c>
      <c r="H117" s="21" t="s">
        <v>220</v>
      </c>
      <c r="I117" s="10">
        <v>2800</v>
      </c>
      <c r="J117" s="8" t="s">
        <v>220</v>
      </c>
      <c r="K117" s="8" t="s">
        <v>220</v>
      </c>
      <c r="L117" s="10">
        <v>2000</v>
      </c>
      <c r="M117" s="13">
        <v>3</v>
      </c>
      <c r="N117" s="10">
        <v>65000000000</v>
      </c>
      <c r="O117" s="15">
        <f t="shared" si="2"/>
        <v>800</v>
      </c>
      <c r="P117" s="29">
        <f t="shared" si="3"/>
        <v>120370.37037037036</v>
      </c>
    </row>
    <row r="118" spans="1:16" x14ac:dyDescent="0.35">
      <c r="A118" s="21" t="s">
        <v>146</v>
      </c>
      <c r="B118" s="8" t="s">
        <v>10</v>
      </c>
      <c r="C118" s="8" t="s">
        <v>56</v>
      </c>
      <c r="D118" s="8" t="s">
        <v>216</v>
      </c>
      <c r="E118" s="8" t="s">
        <v>222</v>
      </c>
      <c r="F118" s="22">
        <v>1300000</v>
      </c>
      <c r="G118" s="18">
        <v>450</v>
      </c>
      <c r="H118" s="21" t="s">
        <v>224</v>
      </c>
      <c r="I118" s="10">
        <v>1200</v>
      </c>
      <c r="J118" s="8" t="s">
        <v>221</v>
      </c>
      <c r="K118" s="8" t="s">
        <v>224</v>
      </c>
      <c r="L118" s="10">
        <v>1000</v>
      </c>
      <c r="M118" s="13">
        <v>4</v>
      </c>
      <c r="N118" s="10">
        <v>20000000000</v>
      </c>
      <c r="O118" s="15">
        <f t="shared" si="2"/>
        <v>200</v>
      </c>
      <c r="P118" s="29">
        <f t="shared" si="3"/>
        <v>15384.615384615385</v>
      </c>
    </row>
    <row r="119" spans="1:16" x14ac:dyDescent="0.35">
      <c r="A119" s="21" t="s">
        <v>147</v>
      </c>
      <c r="B119" s="8" t="s">
        <v>19</v>
      </c>
      <c r="C119" s="8" t="s">
        <v>40</v>
      </c>
      <c r="D119" s="8" t="s">
        <v>216</v>
      </c>
      <c r="E119" s="8" t="s">
        <v>222</v>
      </c>
      <c r="F119" s="22">
        <v>129000000</v>
      </c>
      <c r="G119" s="18">
        <v>400</v>
      </c>
      <c r="H119" s="21" t="s">
        <v>224</v>
      </c>
      <c r="I119" s="10">
        <v>1050</v>
      </c>
      <c r="J119" s="8" t="s">
        <v>221</v>
      </c>
      <c r="K119" s="8" t="s">
        <v>224</v>
      </c>
      <c r="L119" s="10">
        <v>900</v>
      </c>
      <c r="M119" s="13">
        <v>5</v>
      </c>
      <c r="N119" s="10">
        <v>2000000000000</v>
      </c>
      <c r="O119" s="15">
        <f t="shared" si="2"/>
        <v>150</v>
      </c>
      <c r="P119" s="29">
        <f t="shared" si="3"/>
        <v>15503.875968992248</v>
      </c>
    </row>
    <row r="120" spans="1:16" x14ac:dyDescent="0.35">
      <c r="A120" s="21" t="s">
        <v>148</v>
      </c>
      <c r="B120" s="8" t="s">
        <v>7</v>
      </c>
      <c r="C120" s="8" t="s">
        <v>37</v>
      </c>
      <c r="D120" s="8" t="s">
        <v>214</v>
      </c>
      <c r="E120" s="8" t="s">
        <v>220</v>
      </c>
      <c r="F120" s="22">
        <v>2500000</v>
      </c>
      <c r="G120" s="18">
        <v>250</v>
      </c>
      <c r="H120" s="21" t="s">
        <v>221</v>
      </c>
      <c r="I120" s="10">
        <v>560</v>
      </c>
      <c r="J120" s="8" t="s">
        <v>239</v>
      </c>
      <c r="K120" s="8" t="s">
        <v>239</v>
      </c>
      <c r="L120" s="10">
        <v>400</v>
      </c>
      <c r="M120" s="13">
        <v>6</v>
      </c>
      <c r="N120" s="10">
        <v>38000000000</v>
      </c>
      <c r="O120" s="15">
        <f t="shared" si="2"/>
        <v>160</v>
      </c>
      <c r="P120" s="29">
        <f t="shared" si="3"/>
        <v>15200</v>
      </c>
    </row>
    <row r="121" spans="1:16" x14ac:dyDescent="0.35">
      <c r="A121" s="21" t="s">
        <v>149</v>
      </c>
      <c r="B121" s="8" t="s">
        <v>7</v>
      </c>
      <c r="C121" s="8" t="s">
        <v>30</v>
      </c>
      <c r="D121" s="8" t="s">
        <v>215</v>
      </c>
      <c r="E121" s="8" t="s">
        <v>221</v>
      </c>
      <c r="F121" s="22">
        <v>39000</v>
      </c>
      <c r="G121" s="18">
        <v>0</v>
      </c>
      <c r="H121" s="21" t="s">
        <v>219</v>
      </c>
      <c r="I121" s="10">
        <v>7500</v>
      </c>
      <c r="J121" s="8" t="s">
        <v>219</v>
      </c>
      <c r="K121" s="8" t="s">
        <v>219</v>
      </c>
      <c r="L121" s="10">
        <v>5000</v>
      </c>
      <c r="M121" s="13">
        <v>3</v>
      </c>
      <c r="N121" s="10">
        <v>8000000000</v>
      </c>
      <c r="O121" s="15">
        <f t="shared" si="2"/>
        <v>2500</v>
      </c>
      <c r="P121" s="29">
        <f t="shared" si="3"/>
        <v>205128.20512820513</v>
      </c>
    </row>
    <row r="122" spans="1:16" x14ac:dyDescent="0.35">
      <c r="A122" s="21" t="s">
        <v>150</v>
      </c>
      <c r="B122" s="8" t="s">
        <v>4</v>
      </c>
      <c r="C122" s="8" t="s">
        <v>67</v>
      </c>
      <c r="D122" s="8" t="s">
        <v>214</v>
      </c>
      <c r="E122" s="8" t="s">
        <v>220</v>
      </c>
      <c r="F122" s="22">
        <v>3500000</v>
      </c>
      <c r="G122" s="18">
        <v>250</v>
      </c>
      <c r="H122" s="21" t="s">
        <v>221</v>
      </c>
      <c r="I122" s="10">
        <v>640</v>
      </c>
      <c r="J122" s="8" t="s">
        <v>239</v>
      </c>
      <c r="K122" s="8" t="s">
        <v>221</v>
      </c>
      <c r="L122" s="10">
        <v>650</v>
      </c>
      <c r="M122" s="13">
        <v>5</v>
      </c>
      <c r="N122" s="10">
        <v>55000000000</v>
      </c>
      <c r="O122" s="15">
        <f t="shared" si="2"/>
        <v>-10</v>
      </c>
      <c r="P122" s="29">
        <f t="shared" si="3"/>
        <v>15714.285714285714</v>
      </c>
    </row>
    <row r="123" spans="1:16" x14ac:dyDescent="0.35">
      <c r="A123" s="21" t="s">
        <v>151</v>
      </c>
      <c r="B123" s="8" t="s">
        <v>10</v>
      </c>
      <c r="C123" s="8" t="s">
        <v>11</v>
      </c>
      <c r="D123" s="8" t="s">
        <v>214</v>
      </c>
      <c r="E123" s="8" t="s">
        <v>220</v>
      </c>
      <c r="F123" s="22">
        <v>37000000</v>
      </c>
      <c r="G123" s="18">
        <v>320</v>
      </c>
      <c r="H123" s="21" t="s">
        <v>224</v>
      </c>
      <c r="I123" s="10">
        <v>720</v>
      </c>
      <c r="J123" s="8" t="s">
        <v>221</v>
      </c>
      <c r="K123" s="8" t="s">
        <v>221</v>
      </c>
      <c r="L123" s="10">
        <v>550</v>
      </c>
      <c r="M123" s="13">
        <v>4</v>
      </c>
      <c r="N123" s="10">
        <v>155000000000</v>
      </c>
      <c r="O123" s="15">
        <f t="shared" si="2"/>
        <v>170</v>
      </c>
      <c r="P123" s="29">
        <f t="shared" si="3"/>
        <v>4189.1891891891892</v>
      </c>
    </row>
    <row r="124" spans="1:16" x14ac:dyDescent="0.35">
      <c r="A124" s="21" t="s">
        <v>152</v>
      </c>
      <c r="B124" s="8" t="s">
        <v>10</v>
      </c>
      <c r="C124" s="8" t="s">
        <v>48</v>
      </c>
      <c r="D124" s="8" t="s">
        <v>213</v>
      </c>
      <c r="E124" s="8" t="s">
        <v>219</v>
      </c>
      <c r="F124" s="22">
        <v>33000000</v>
      </c>
      <c r="G124" s="18">
        <v>60</v>
      </c>
      <c r="H124" s="21" t="s">
        <v>244</v>
      </c>
      <c r="I124" s="10">
        <v>180</v>
      </c>
      <c r="J124" s="8" t="s">
        <v>239</v>
      </c>
      <c r="K124" s="8" t="s">
        <v>239</v>
      </c>
      <c r="L124" s="10">
        <v>250</v>
      </c>
      <c r="M124" s="13">
        <v>8</v>
      </c>
      <c r="N124" s="10">
        <v>22000000000</v>
      </c>
      <c r="O124" s="15">
        <f t="shared" si="2"/>
        <v>-70</v>
      </c>
      <c r="P124" s="29">
        <f t="shared" si="3"/>
        <v>666.66666666666663</v>
      </c>
    </row>
    <row r="125" spans="1:16" x14ac:dyDescent="0.35">
      <c r="A125" s="21" t="s">
        <v>153</v>
      </c>
      <c r="B125" s="8" t="s">
        <v>10</v>
      </c>
      <c r="C125" s="8" t="s">
        <v>48</v>
      </c>
      <c r="D125" s="8" t="s">
        <v>214</v>
      </c>
      <c r="E125" s="8" t="s">
        <v>220</v>
      </c>
      <c r="F125" s="22">
        <v>2700000</v>
      </c>
      <c r="G125" s="18">
        <v>200</v>
      </c>
      <c r="H125" s="21" t="s">
        <v>221</v>
      </c>
      <c r="I125" s="10">
        <v>640</v>
      </c>
      <c r="J125" s="8" t="s">
        <v>239</v>
      </c>
      <c r="K125" s="8" t="s">
        <v>221</v>
      </c>
      <c r="L125" s="10">
        <v>650</v>
      </c>
      <c r="M125" s="13">
        <v>5</v>
      </c>
      <c r="N125" s="10">
        <v>16000000000</v>
      </c>
      <c r="O125" s="15">
        <f t="shared" si="2"/>
        <v>-10</v>
      </c>
      <c r="P125" s="29">
        <f t="shared" si="3"/>
        <v>5925.9259259259261</v>
      </c>
    </row>
    <row r="126" spans="1:16" x14ac:dyDescent="0.35">
      <c r="A126" s="21" t="s">
        <v>154</v>
      </c>
      <c r="B126" s="8" t="s">
        <v>4</v>
      </c>
      <c r="C126" s="8" t="s">
        <v>5</v>
      </c>
      <c r="D126" s="8" t="s">
        <v>214</v>
      </c>
      <c r="E126" s="8" t="s">
        <v>220</v>
      </c>
      <c r="F126" s="22">
        <v>31000000</v>
      </c>
      <c r="G126" s="18">
        <v>120</v>
      </c>
      <c r="H126" s="21" t="s">
        <v>221</v>
      </c>
      <c r="I126" s="10">
        <v>320</v>
      </c>
      <c r="J126" s="8" t="s">
        <v>239</v>
      </c>
      <c r="K126" s="8" t="s">
        <v>239</v>
      </c>
      <c r="L126" s="10">
        <v>280</v>
      </c>
      <c r="M126" s="13">
        <v>6</v>
      </c>
      <c r="N126" s="10">
        <v>48000000000</v>
      </c>
      <c r="O126" s="15">
        <f t="shared" si="2"/>
        <v>40</v>
      </c>
      <c r="P126" s="29">
        <f t="shared" si="3"/>
        <v>1548.3870967741937</v>
      </c>
    </row>
    <row r="127" spans="1:16" x14ac:dyDescent="0.35">
      <c r="A127" s="21" t="s">
        <v>155</v>
      </c>
      <c r="B127" s="8" t="s">
        <v>7</v>
      </c>
      <c r="C127" s="8" t="s">
        <v>30</v>
      </c>
      <c r="D127" s="8" t="s">
        <v>215</v>
      </c>
      <c r="E127" s="8" t="s">
        <v>221</v>
      </c>
      <c r="F127" s="22">
        <v>17900000</v>
      </c>
      <c r="G127" s="18">
        <v>2000</v>
      </c>
      <c r="H127" s="21" t="s">
        <v>219</v>
      </c>
      <c r="I127" s="10">
        <v>4800</v>
      </c>
      <c r="J127" s="8" t="s">
        <v>219</v>
      </c>
      <c r="K127" s="8" t="s">
        <v>219</v>
      </c>
      <c r="L127" s="10">
        <v>3000</v>
      </c>
      <c r="M127" s="13">
        <v>3</v>
      </c>
      <c r="N127" s="10">
        <v>1120000000000</v>
      </c>
      <c r="O127" s="15">
        <f t="shared" si="2"/>
        <v>1800</v>
      </c>
      <c r="P127" s="29">
        <f t="shared" si="3"/>
        <v>62569.832402234635</v>
      </c>
    </row>
    <row r="128" spans="1:16" x14ac:dyDescent="0.35">
      <c r="A128" s="21" t="s">
        <v>156</v>
      </c>
      <c r="B128" s="8" t="s">
        <v>13</v>
      </c>
      <c r="C128" s="8" t="s">
        <v>28</v>
      </c>
      <c r="D128" s="8" t="s">
        <v>215</v>
      </c>
      <c r="E128" s="8" t="s">
        <v>221</v>
      </c>
      <c r="F128" s="22">
        <v>5200000</v>
      </c>
      <c r="G128" s="18">
        <v>2200</v>
      </c>
      <c r="H128" s="21" t="s">
        <v>219</v>
      </c>
      <c r="I128" s="10">
        <v>4700</v>
      </c>
      <c r="J128" s="8" t="s">
        <v>219</v>
      </c>
      <c r="K128" s="8" t="s">
        <v>219</v>
      </c>
      <c r="L128" s="10">
        <v>3000</v>
      </c>
      <c r="M128" s="13">
        <v>3</v>
      </c>
      <c r="N128" s="10">
        <v>270000000000</v>
      </c>
      <c r="O128" s="15">
        <f t="shared" si="2"/>
        <v>1700</v>
      </c>
      <c r="P128" s="29">
        <f t="shared" si="3"/>
        <v>51923.076923076922</v>
      </c>
    </row>
    <row r="129" spans="1:16" x14ac:dyDescent="0.35">
      <c r="A129" s="21" t="s">
        <v>157</v>
      </c>
      <c r="B129" s="8" t="s">
        <v>19</v>
      </c>
      <c r="C129" s="8" t="s">
        <v>40</v>
      </c>
      <c r="D129" s="8" t="s">
        <v>214</v>
      </c>
      <c r="E129" s="8" t="s">
        <v>220</v>
      </c>
      <c r="F129" s="22">
        <v>6800000</v>
      </c>
      <c r="G129" s="18">
        <v>200</v>
      </c>
      <c r="H129" s="21" t="s">
        <v>221</v>
      </c>
      <c r="I129" s="10">
        <v>480</v>
      </c>
      <c r="J129" s="8" t="s">
        <v>239</v>
      </c>
      <c r="K129" s="8" t="s">
        <v>239</v>
      </c>
      <c r="L129" s="10">
        <v>350</v>
      </c>
      <c r="M129" s="13">
        <v>5</v>
      </c>
      <c r="N129" s="10">
        <v>27000000000</v>
      </c>
      <c r="O129" s="15">
        <f t="shared" si="2"/>
        <v>130</v>
      </c>
      <c r="P129" s="29">
        <f t="shared" si="3"/>
        <v>3970.5882352941176</v>
      </c>
    </row>
    <row r="130" spans="1:16" x14ac:dyDescent="0.35">
      <c r="A130" s="21" t="s">
        <v>158</v>
      </c>
      <c r="B130" s="8" t="s">
        <v>10</v>
      </c>
      <c r="C130" s="8" t="s">
        <v>42</v>
      </c>
      <c r="D130" s="8" t="s">
        <v>213</v>
      </c>
      <c r="E130" s="8" t="s">
        <v>219</v>
      </c>
      <c r="F130" s="22">
        <v>27000000</v>
      </c>
      <c r="G130" s="18">
        <v>50</v>
      </c>
      <c r="H130" s="21" t="s">
        <v>244</v>
      </c>
      <c r="I130" s="10">
        <v>130</v>
      </c>
      <c r="J130" s="8" t="s">
        <v>239</v>
      </c>
      <c r="K130" s="8" t="s">
        <v>239</v>
      </c>
      <c r="L130" s="10">
        <v>200</v>
      </c>
      <c r="M130" s="13">
        <v>4</v>
      </c>
      <c r="N130" s="10">
        <v>18000000000</v>
      </c>
      <c r="O130" s="15">
        <f t="shared" si="2"/>
        <v>-70</v>
      </c>
      <c r="P130" s="29">
        <f t="shared" si="3"/>
        <v>666.66666666666663</v>
      </c>
    </row>
    <row r="131" spans="1:16" x14ac:dyDescent="0.35">
      <c r="A131" s="21" t="s">
        <v>159</v>
      </c>
      <c r="B131" s="8" t="s">
        <v>10</v>
      </c>
      <c r="C131" s="8" t="s">
        <v>42</v>
      </c>
      <c r="D131" s="8" t="s">
        <v>214</v>
      </c>
      <c r="E131" s="8" t="s">
        <v>220</v>
      </c>
      <c r="F131" s="22">
        <v>229000000</v>
      </c>
      <c r="G131" s="18">
        <v>50</v>
      </c>
      <c r="H131" s="21" t="s">
        <v>244</v>
      </c>
      <c r="I131" s="10">
        <v>220</v>
      </c>
      <c r="J131" s="8" t="s">
        <v>239</v>
      </c>
      <c r="K131" s="8" t="s">
        <v>221</v>
      </c>
      <c r="L131" s="10">
        <v>450</v>
      </c>
      <c r="M131" s="13">
        <v>24</v>
      </c>
      <c r="N131" s="10">
        <v>560000000000</v>
      </c>
      <c r="O131" s="15">
        <f t="shared" ref="O131:O183" si="4">I131-L131</f>
        <v>-230</v>
      </c>
      <c r="P131" s="29">
        <f t="shared" si="3"/>
        <v>2445.4148471615722</v>
      </c>
    </row>
    <row r="132" spans="1:16" x14ac:dyDescent="0.35">
      <c r="A132" s="21" t="s">
        <v>160</v>
      </c>
      <c r="B132" s="8" t="s">
        <v>7</v>
      </c>
      <c r="C132" s="8" t="s">
        <v>80</v>
      </c>
      <c r="D132" s="8" t="s">
        <v>215</v>
      </c>
      <c r="E132" s="8" t="s">
        <v>221</v>
      </c>
      <c r="F132" s="22">
        <v>5500000</v>
      </c>
      <c r="G132" s="18">
        <v>0</v>
      </c>
      <c r="H132" s="21" t="s">
        <v>219</v>
      </c>
      <c r="I132" s="10">
        <v>5600</v>
      </c>
      <c r="J132" s="8" t="s">
        <v>219</v>
      </c>
      <c r="K132" s="8" t="s">
        <v>219</v>
      </c>
      <c r="L132" s="10">
        <v>3500</v>
      </c>
      <c r="M132" s="13">
        <v>3</v>
      </c>
      <c r="N132" s="10">
        <v>620000000000</v>
      </c>
      <c r="O132" s="15">
        <f t="shared" si="4"/>
        <v>2100</v>
      </c>
      <c r="P132" s="29">
        <f t="shared" ref="P132:P183" si="5">N132/F132</f>
        <v>112727.27272727272</v>
      </c>
    </row>
    <row r="133" spans="1:16" x14ac:dyDescent="0.35">
      <c r="A133" s="21" t="s">
        <v>161</v>
      </c>
      <c r="B133" s="8" t="s">
        <v>4</v>
      </c>
      <c r="C133" s="8" t="s">
        <v>25</v>
      </c>
      <c r="D133" s="8" t="s">
        <v>215</v>
      </c>
      <c r="E133" s="8" t="s">
        <v>221</v>
      </c>
      <c r="F133" s="22">
        <v>5000000</v>
      </c>
      <c r="G133" s="18">
        <v>1100</v>
      </c>
      <c r="H133" s="21" t="s">
        <v>220</v>
      </c>
      <c r="I133" s="10">
        <v>3200</v>
      </c>
      <c r="J133" s="8" t="s">
        <v>220</v>
      </c>
      <c r="K133" s="8" t="s">
        <v>224</v>
      </c>
      <c r="L133" s="10">
        <v>2000</v>
      </c>
      <c r="M133" s="13">
        <v>2</v>
      </c>
      <c r="N133" s="10">
        <v>130000000000</v>
      </c>
      <c r="O133" s="15">
        <f t="shared" si="4"/>
        <v>1200</v>
      </c>
      <c r="P133" s="29">
        <f t="shared" si="5"/>
        <v>26000</v>
      </c>
    </row>
    <row r="134" spans="1:16" x14ac:dyDescent="0.35">
      <c r="A134" s="21" t="s">
        <v>162</v>
      </c>
      <c r="B134" s="8" t="s">
        <v>4</v>
      </c>
      <c r="C134" s="8" t="s">
        <v>5</v>
      </c>
      <c r="D134" s="8" t="s">
        <v>214</v>
      </c>
      <c r="E134" s="8" t="s">
        <v>220</v>
      </c>
      <c r="F134" s="22">
        <v>242000000</v>
      </c>
      <c r="G134" s="18">
        <v>150</v>
      </c>
      <c r="H134" s="21" t="s">
        <v>221</v>
      </c>
      <c r="I134" s="10">
        <v>360</v>
      </c>
      <c r="J134" s="8" t="s">
        <v>239</v>
      </c>
      <c r="K134" s="8" t="s">
        <v>239</v>
      </c>
      <c r="L134" s="10">
        <v>250</v>
      </c>
      <c r="M134" s="13">
        <v>30</v>
      </c>
      <c r="N134" s="10">
        <v>450000000000</v>
      </c>
      <c r="O134" s="15">
        <f t="shared" si="4"/>
        <v>110</v>
      </c>
      <c r="P134" s="29">
        <f t="shared" si="5"/>
        <v>1859.504132231405</v>
      </c>
    </row>
    <row r="135" spans="1:16" x14ac:dyDescent="0.35">
      <c r="A135" s="21" t="s">
        <v>163</v>
      </c>
      <c r="B135" s="8" t="s">
        <v>19</v>
      </c>
      <c r="C135" s="8" t="s">
        <v>40</v>
      </c>
      <c r="D135" s="8" t="s">
        <v>216</v>
      </c>
      <c r="E135" s="8" t="s">
        <v>222</v>
      </c>
      <c r="F135" s="22">
        <v>4400000</v>
      </c>
      <c r="G135" s="18">
        <v>700</v>
      </c>
      <c r="H135" s="21" t="s">
        <v>220</v>
      </c>
      <c r="I135" s="10">
        <v>1600</v>
      </c>
      <c r="J135" s="8" t="s">
        <v>224</v>
      </c>
      <c r="K135" s="8" t="s">
        <v>224</v>
      </c>
      <c r="L135" s="10">
        <v>1200</v>
      </c>
      <c r="M135" s="13">
        <v>3</v>
      </c>
      <c r="N135" s="10">
        <v>95000000000</v>
      </c>
      <c r="O135" s="15">
        <f t="shared" si="4"/>
        <v>400</v>
      </c>
      <c r="P135" s="29">
        <f t="shared" si="5"/>
        <v>21590.909090909092</v>
      </c>
    </row>
    <row r="136" spans="1:16" x14ac:dyDescent="0.35">
      <c r="A136" s="21" t="s">
        <v>164</v>
      </c>
      <c r="B136" s="8" t="s">
        <v>13</v>
      </c>
      <c r="C136" s="8" t="s">
        <v>93</v>
      </c>
      <c r="D136" s="8" t="s">
        <v>213</v>
      </c>
      <c r="E136" s="8" t="s">
        <v>219</v>
      </c>
      <c r="F136" s="22">
        <v>10000000</v>
      </c>
      <c r="G136" s="18">
        <v>100</v>
      </c>
      <c r="H136" s="21" t="s">
        <v>244</v>
      </c>
      <c r="I136" s="10">
        <v>260</v>
      </c>
      <c r="J136" s="8" t="s">
        <v>239</v>
      </c>
      <c r="K136" s="8" t="s">
        <v>239</v>
      </c>
      <c r="L136" s="10">
        <v>450</v>
      </c>
      <c r="M136" s="13">
        <v>5</v>
      </c>
      <c r="N136" s="10">
        <v>32000000000</v>
      </c>
      <c r="O136" s="15">
        <f t="shared" si="4"/>
        <v>-190</v>
      </c>
      <c r="P136" s="29">
        <f t="shared" si="5"/>
        <v>3200</v>
      </c>
    </row>
    <row r="137" spans="1:16" x14ac:dyDescent="0.35">
      <c r="A137" s="21" t="s">
        <v>165</v>
      </c>
      <c r="B137" s="8" t="s">
        <v>23</v>
      </c>
      <c r="C137" s="8" t="s">
        <v>23</v>
      </c>
      <c r="D137" s="8" t="s">
        <v>214</v>
      </c>
      <c r="E137" s="8" t="s">
        <v>220</v>
      </c>
      <c r="F137" s="22">
        <v>7200000</v>
      </c>
      <c r="G137" s="18">
        <v>300</v>
      </c>
      <c r="H137" s="21" t="s">
        <v>224</v>
      </c>
      <c r="I137" s="10">
        <v>720</v>
      </c>
      <c r="J137" s="8" t="s">
        <v>221</v>
      </c>
      <c r="K137" s="8" t="s">
        <v>221</v>
      </c>
      <c r="L137" s="10">
        <v>550</v>
      </c>
      <c r="M137" s="13">
        <v>4</v>
      </c>
      <c r="N137" s="10">
        <v>50000000000</v>
      </c>
      <c r="O137" s="15">
        <f t="shared" si="4"/>
        <v>170</v>
      </c>
      <c r="P137" s="29">
        <f t="shared" si="5"/>
        <v>6944.4444444444443</v>
      </c>
    </row>
    <row r="138" spans="1:16" x14ac:dyDescent="0.35">
      <c r="A138" s="21" t="s">
        <v>166</v>
      </c>
      <c r="B138" s="8" t="s">
        <v>23</v>
      </c>
      <c r="C138" s="8" t="s">
        <v>23</v>
      </c>
      <c r="D138" s="8" t="s">
        <v>216</v>
      </c>
      <c r="E138" s="8" t="s">
        <v>222</v>
      </c>
      <c r="F138" s="22">
        <v>34000000</v>
      </c>
      <c r="G138" s="18">
        <v>450</v>
      </c>
      <c r="H138" s="21" t="s">
        <v>224</v>
      </c>
      <c r="I138" s="10">
        <v>1050</v>
      </c>
      <c r="J138" s="8" t="s">
        <v>221</v>
      </c>
      <c r="K138" s="8" t="s">
        <v>224</v>
      </c>
      <c r="L138" s="10">
        <v>750</v>
      </c>
      <c r="M138" s="13">
        <v>4</v>
      </c>
      <c r="N138" s="10">
        <v>250000000000</v>
      </c>
      <c r="O138" s="15">
        <f t="shared" si="4"/>
        <v>300</v>
      </c>
      <c r="P138" s="29">
        <f t="shared" si="5"/>
        <v>7352.9411764705883</v>
      </c>
    </row>
    <row r="139" spans="1:16" x14ac:dyDescent="0.35">
      <c r="A139" s="21" t="s">
        <v>167</v>
      </c>
      <c r="B139" s="8" t="s">
        <v>4</v>
      </c>
      <c r="C139" s="8" t="s">
        <v>51</v>
      </c>
      <c r="D139" s="8" t="s">
        <v>214</v>
      </c>
      <c r="E139" s="8" t="s">
        <v>220</v>
      </c>
      <c r="F139" s="22">
        <v>117000000</v>
      </c>
      <c r="G139" s="18">
        <v>180</v>
      </c>
      <c r="H139" s="21" t="s">
        <v>221</v>
      </c>
      <c r="I139" s="10">
        <v>560</v>
      </c>
      <c r="J139" s="8" t="s">
        <v>239</v>
      </c>
      <c r="K139" s="8" t="s">
        <v>221</v>
      </c>
      <c r="L139" s="10">
        <v>550</v>
      </c>
      <c r="M139" s="13">
        <v>5</v>
      </c>
      <c r="N139" s="10">
        <v>480000000000</v>
      </c>
      <c r="O139" s="15">
        <f t="shared" si="4"/>
        <v>10</v>
      </c>
      <c r="P139" s="29">
        <f t="shared" si="5"/>
        <v>4102.5641025641025</v>
      </c>
    </row>
    <row r="140" spans="1:16" x14ac:dyDescent="0.35">
      <c r="A140" s="21" t="s">
        <v>168</v>
      </c>
      <c r="B140" s="8" t="s">
        <v>7</v>
      </c>
      <c r="C140" s="8" t="s">
        <v>37</v>
      </c>
      <c r="D140" s="8" t="s">
        <v>215</v>
      </c>
      <c r="E140" s="8" t="s">
        <v>221</v>
      </c>
      <c r="F140" s="22">
        <v>37000000</v>
      </c>
      <c r="G140" s="18">
        <v>950</v>
      </c>
      <c r="H140" s="21" t="s">
        <v>220</v>
      </c>
      <c r="I140" s="10">
        <v>2300</v>
      </c>
      <c r="J140" s="8" t="s">
        <v>224</v>
      </c>
      <c r="K140" s="8" t="s">
        <v>224</v>
      </c>
      <c r="L140" s="10">
        <v>1600</v>
      </c>
      <c r="M140" s="13">
        <v>4</v>
      </c>
      <c r="N140" s="10">
        <v>820000000000</v>
      </c>
      <c r="O140" s="15">
        <f t="shared" si="4"/>
        <v>700</v>
      </c>
      <c r="P140" s="29">
        <f t="shared" si="5"/>
        <v>22162.162162162163</v>
      </c>
    </row>
    <row r="141" spans="1:16" x14ac:dyDescent="0.35">
      <c r="A141" s="21" t="s">
        <v>169</v>
      </c>
      <c r="B141" s="8" t="s">
        <v>7</v>
      </c>
      <c r="C141" s="8" t="s">
        <v>8</v>
      </c>
      <c r="D141" s="8" t="s">
        <v>215</v>
      </c>
      <c r="E141" s="8" t="s">
        <v>221</v>
      </c>
      <c r="F141" s="22">
        <v>10200000</v>
      </c>
      <c r="G141" s="18">
        <v>1000</v>
      </c>
      <c r="H141" s="21" t="s">
        <v>220</v>
      </c>
      <c r="I141" s="10">
        <v>2200</v>
      </c>
      <c r="J141" s="8" t="s">
        <v>224</v>
      </c>
      <c r="K141" s="8" t="s">
        <v>220</v>
      </c>
      <c r="L141" s="10">
        <v>1900</v>
      </c>
      <c r="M141" s="13">
        <v>3</v>
      </c>
      <c r="N141" s="10">
        <v>310000000000</v>
      </c>
      <c r="O141" s="15">
        <f t="shared" si="4"/>
        <v>300</v>
      </c>
      <c r="P141" s="29">
        <f t="shared" si="5"/>
        <v>30392.156862745098</v>
      </c>
    </row>
    <row r="142" spans="1:16" x14ac:dyDescent="0.35">
      <c r="A142" s="21" t="s">
        <v>170</v>
      </c>
      <c r="B142" s="8" t="s">
        <v>4</v>
      </c>
      <c r="C142" s="8" t="s">
        <v>25</v>
      </c>
      <c r="D142" s="8" t="s">
        <v>215</v>
      </c>
      <c r="E142" s="8" t="s">
        <v>221</v>
      </c>
      <c r="F142" s="22">
        <v>3000000</v>
      </c>
      <c r="G142" s="18">
        <v>1600</v>
      </c>
      <c r="H142" s="21" t="s">
        <v>219</v>
      </c>
      <c r="I142" s="10">
        <v>5000</v>
      </c>
      <c r="J142" s="8" t="s">
        <v>219</v>
      </c>
      <c r="K142" s="8" t="s">
        <v>220</v>
      </c>
      <c r="L142" s="10">
        <v>2800</v>
      </c>
      <c r="M142" s="13">
        <v>2</v>
      </c>
      <c r="N142" s="10">
        <v>250000000000</v>
      </c>
      <c r="O142" s="15">
        <f t="shared" si="4"/>
        <v>2200</v>
      </c>
      <c r="P142" s="29">
        <f t="shared" si="5"/>
        <v>83333.333333333328</v>
      </c>
    </row>
    <row r="143" spans="1:16" x14ac:dyDescent="0.35">
      <c r="A143" s="21" t="s">
        <v>171</v>
      </c>
      <c r="B143" s="8" t="s">
        <v>7</v>
      </c>
      <c r="C143" s="8" t="s">
        <v>37</v>
      </c>
      <c r="D143" s="8" t="s">
        <v>215</v>
      </c>
      <c r="E143" s="8" t="s">
        <v>221</v>
      </c>
      <c r="F143" s="22">
        <v>19000000</v>
      </c>
      <c r="G143" s="18">
        <v>900</v>
      </c>
      <c r="H143" s="21" t="s">
        <v>220</v>
      </c>
      <c r="I143" s="10">
        <v>2000</v>
      </c>
      <c r="J143" s="8" t="s">
        <v>224</v>
      </c>
      <c r="K143" s="8" t="s">
        <v>224</v>
      </c>
      <c r="L143" s="10">
        <v>1400</v>
      </c>
      <c r="M143" s="13">
        <v>4</v>
      </c>
      <c r="N143" s="10">
        <v>360000000000</v>
      </c>
      <c r="O143" s="15">
        <f t="shared" si="4"/>
        <v>600</v>
      </c>
      <c r="P143" s="29">
        <f t="shared" si="5"/>
        <v>18947.36842105263</v>
      </c>
    </row>
    <row r="144" spans="1:16" x14ac:dyDescent="0.35">
      <c r="A144" s="21" t="s">
        <v>172</v>
      </c>
      <c r="B144" s="8" t="s">
        <v>7</v>
      </c>
      <c r="C144" s="8" t="s">
        <v>37</v>
      </c>
      <c r="D144" s="8" t="s">
        <v>217</v>
      </c>
      <c r="E144" s="8" t="s">
        <v>222</v>
      </c>
      <c r="F144" s="22">
        <v>144000000</v>
      </c>
      <c r="G144" s="18">
        <v>300</v>
      </c>
      <c r="H144" s="21" t="s">
        <v>224</v>
      </c>
      <c r="I144" s="10">
        <v>960</v>
      </c>
      <c r="J144" s="8" t="s">
        <v>221</v>
      </c>
      <c r="K144" s="8" t="s">
        <v>221</v>
      </c>
      <c r="L144" s="10">
        <v>800</v>
      </c>
      <c r="M144" s="13">
        <v>6</v>
      </c>
      <c r="N144" s="10">
        <v>2200000000000</v>
      </c>
      <c r="O144" s="15">
        <f t="shared" si="4"/>
        <v>160</v>
      </c>
      <c r="P144" s="29">
        <f t="shared" si="5"/>
        <v>15277.777777777777</v>
      </c>
    </row>
    <row r="145" spans="1:16" x14ac:dyDescent="0.35">
      <c r="A145" s="21" t="s">
        <v>173</v>
      </c>
      <c r="B145" s="8" t="s">
        <v>10</v>
      </c>
      <c r="C145" s="8" t="s">
        <v>56</v>
      </c>
      <c r="D145" s="8" t="s">
        <v>213</v>
      </c>
      <c r="E145" s="8" t="s">
        <v>219</v>
      </c>
      <c r="F145" s="22">
        <v>14000000</v>
      </c>
      <c r="G145" s="18">
        <v>80</v>
      </c>
      <c r="H145" s="21" t="s">
        <v>244</v>
      </c>
      <c r="I145" s="10">
        <v>220</v>
      </c>
      <c r="J145" s="8" t="s">
        <v>239</v>
      </c>
      <c r="K145" s="8" t="s">
        <v>239</v>
      </c>
      <c r="L145" s="10">
        <v>280</v>
      </c>
      <c r="M145" s="13">
        <v>6</v>
      </c>
      <c r="N145" s="10">
        <v>16000000000</v>
      </c>
      <c r="O145" s="15">
        <f t="shared" si="4"/>
        <v>-60</v>
      </c>
      <c r="P145" s="29">
        <f t="shared" si="5"/>
        <v>1142.8571428571429</v>
      </c>
    </row>
    <row r="146" spans="1:16" x14ac:dyDescent="0.35">
      <c r="A146" s="21" t="s">
        <v>174</v>
      </c>
      <c r="B146" s="8" t="s">
        <v>4</v>
      </c>
      <c r="C146" s="8" t="s">
        <v>25</v>
      </c>
      <c r="D146" s="8" t="s">
        <v>215</v>
      </c>
      <c r="E146" s="8" t="s">
        <v>221</v>
      </c>
      <c r="F146" s="22">
        <v>36000000</v>
      </c>
      <c r="G146" s="18">
        <v>1500</v>
      </c>
      <c r="H146" s="21" t="s">
        <v>219</v>
      </c>
      <c r="I146" s="10">
        <v>4500</v>
      </c>
      <c r="J146" s="8" t="s">
        <v>219</v>
      </c>
      <c r="K146" s="8" t="s">
        <v>224</v>
      </c>
      <c r="L146" s="10">
        <v>2500</v>
      </c>
      <c r="M146" s="13">
        <v>2</v>
      </c>
      <c r="N146" s="10">
        <v>1150000000000</v>
      </c>
      <c r="O146" s="15">
        <f t="shared" si="4"/>
        <v>2000</v>
      </c>
      <c r="P146" s="29">
        <f t="shared" si="5"/>
        <v>31944.444444444445</v>
      </c>
    </row>
    <row r="147" spans="1:16" x14ac:dyDescent="0.35">
      <c r="A147" s="21" t="s">
        <v>175</v>
      </c>
      <c r="B147" s="8" t="s">
        <v>10</v>
      </c>
      <c r="C147" s="8" t="s">
        <v>42</v>
      </c>
      <c r="D147" s="8" t="s">
        <v>213</v>
      </c>
      <c r="E147" s="8" t="s">
        <v>219</v>
      </c>
      <c r="F147" s="22">
        <v>18000000</v>
      </c>
      <c r="G147" s="18">
        <v>90</v>
      </c>
      <c r="H147" s="21" t="s">
        <v>244</v>
      </c>
      <c r="I147" s="10">
        <v>250</v>
      </c>
      <c r="J147" s="8" t="s">
        <v>239</v>
      </c>
      <c r="K147" s="8" t="s">
        <v>221</v>
      </c>
      <c r="L147" s="10">
        <v>420</v>
      </c>
      <c r="M147" s="13">
        <v>4</v>
      </c>
      <c r="N147" s="10">
        <v>38000000000</v>
      </c>
      <c r="O147" s="15">
        <f t="shared" si="4"/>
        <v>-170</v>
      </c>
      <c r="P147" s="29">
        <f t="shared" si="5"/>
        <v>2111.1111111111113</v>
      </c>
    </row>
    <row r="148" spans="1:16" x14ac:dyDescent="0.35">
      <c r="A148" s="21" t="s">
        <v>176</v>
      </c>
      <c r="B148" s="8" t="s">
        <v>7</v>
      </c>
      <c r="C148" s="8" t="s">
        <v>8</v>
      </c>
      <c r="D148" s="8" t="s">
        <v>214</v>
      </c>
      <c r="E148" s="8" t="s">
        <v>220</v>
      </c>
      <c r="F148" s="22">
        <v>6700000</v>
      </c>
      <c r="G148" s="18">
        <v>500</v>
      </c>
      <c r="H148" s="21" t="s">
        <v>224</v>
      </c>
      <c r="I148" s="10">
        <v>1000</v>
      </c>
      <c r="J148" s="8" t="s">
        <v>221</v>
      </c>
      <c r="K148" s="8" t="s">
        <v>221</v>
      </c>
      <c r="L148" s="10">
        <v>800</v>
      </c>
      <c r="M148" s="13">
        <v>5</v>
      </c>
      <c r="N148" s="10">
        <v>90000000000</v>
      </c>
      <c r="O148" s="15">
        <f t="shared" si="4"/>
        <v>200</v>
      </c>
      <c r="P148" s="29">
        <f t="shared" si="5"/>
        <v>13432.835820895523</v>
      </c>
    </row>
    <row r="149" spans="1:16" x14ac:dyDescent="0.35">
      <c r="A149" s="21" t="s">
        <v>177</v>
      </c>
      <c r="B149" s="8" t="s">
        <v>10</v>
      </c>
      <c r="C149" s="8" t="s">
        <v>42</v>
      </c>
      <c r="D149" s="8" t="s">
        <v>213</v>
      </c>
      <c r="E149" s="8" t="s">
        <v>219</v>
      </c>
      <c r="F149" s="22">
        <v>8600000</v>
      </c>
      <c r="G149" s="18">
        <v>60</v>
      </c>
      <c r="H149" s="21" t="s">
        <v>244</v>
      </c>
      <c r="I149" s="10">
        <v>170</v>
      </c>
      <c r="J149" s="8" t="s">
        <v>239</v>
      </c>
      <c r="K149" s="8" t="s">
        <v>239</v>
      </c>
      <c r="L149" s="10">
        <v>200</v>
      </c>
      <c r="M149" s="13">
        <v>8</v>
      </c>
      <c r="N149" s="10">
        <v>8000000000</v>
      </c>
      <c r="O149" s="15">
        <f t="shared" si="4"/>
        <v>-30</v>
      </c>
      <c r="P149" s="29">
        <f t="shared" si="5"/>
        <v>930.23255813953483</v>
      </c>
    </row>
    <row r="150" spans="1:16" x14ac:dyDescent="0.35">
      <c r="A150" s="21" t="s">
        <v>178</v>
      </c>
      <c r="B150" s="8" t="s">
        <v>4</v>
      </c>
      <c r="C150" s="8" t="s">
        <v>51</v>
      </c>
      <c r="D150" s="8" t="s">
        <v>215</v>
      </c>
      <c r="E150" s="8" t="s">
        <v>221</v>
      </c>
      <c r="F150" s="22">
        <v>5900000</v>
      </c>
      <c r="G150" s="18">
        <v>1800</v>
      </c>
      <c r="H150" s="21" t="s">
        <v>219</v>
      </c>
      <c r="I150" s="10">
        <v>5500</v>
      </c>
      <c r="J150" s="8" t="s">
        <v>219</v>
      </c>
      <c r="K150" s="8" t="s">
        <v>219</v>
      </c>
      <c r="L150" s="10">
        <v>3500</v>
      </c>
      <c r="M150" s="13">
        <v>3</v>
      </c>
      <c r="N150" s="10">
        <v>540000000000</v>
      </c>
      <c r="O150" s="15">
        <f t="shared" si="4"/>
        <v>2000</v>
      </c>
      <c r="P150" s="29">
        <f t="shared" si="5"/>
        <v>91525.423728813563</v>
      </c>
    </row>
    <row r="151" spans="1:16" x14ac:dyDescent="0.35">
      <c r="A151" s="21" t="s">
        <v>179</v>
      </c>
      <c r="B151" s="8" t="s">
        <v>7</v>
      </c>
      <c r="C151" s="8" t="s">
        <v>37</v>
      </c>
      <c r="D151" s="8" t="s">
        <v>215</v>
      </c>
      <c r="E151" s="8" t="s">
        <v>221</v>
      </c>
      <c r="F151" s="22">
        <v>5400000</v>
      </c>
      <c r="G151" s="18">
        <v>900</v>
      </c>
      <c r="H151" s="21" t="s">
        <v>220</v>
      </c>
      <c r="I151" s="10">
        <v>2200</v>
      </c>
      <c r="J151" s="8" t="s">
        <v>224</v>
      </c>
      <c r="K151" s="8" t="s">
        <v>224</v>
      </c>
      <c r="L151" s="10">
        <v>1600</v>
      </c>
      <c r="M151" s="13">
        <v>4</v>
      </c>
      <c r="N151" s="10">
        <v>155000000000</v>
      </c>
      <c r="O151" s="15">
        <f t="shared" si="4"/>
        <v>600</v>
      </c>
      <c r="P151" s="29">
        <f t="shared" si="5"/>
        <v>28703.703703703704</v>
      </c>
    </row>
    <row r="152" spans="1:16" x14ac:dyDescent="0.35">
      <c r="A152" s="21" t="s">
        <v>180</v>
      </c>
      <c r="B152" s="8" t="s">
        <v>7</v>
      </c>
      <c r="C152" s="8" t="s">
        <v>8</v>
      </c>
      <c r="D152" s="8" t="s">
        <v>215</v>
      </c>
      <c r="E152" s="8" t="s">
        <v>221</v>
      </c>
      <c r="F152" s="22">
        <v>2100000</v>
      </c>
      <c r="G152" s="18">
        <v>1100</v>
      </c>
      <c r="H152" s="21" t="s">
        <v>220</v>
      </c>
      <c r="I152" s="10">
        <v>2400</v>
      </c>
      <c r="J152" s="8" t="s">
        <v>224</v>
      </c>
      <c r="K152" s="8" t="s">
        <v>220</v>
      </c>
      <c r="L152" s="10">
        <v>1800</v>
      </c>
      <c r="M152" s="13">
        <v>3</v>
      </c>
      <c r="N152" s="10">
        <v>78000000000</v>
      </c>
      <c r="O152" s="15">
        <f t="shared" si="4"/>
        <v>600</v>
      </c>
      <c r="P152" s="29">
        <f t="shared" si="5"/>
        <v>37142.857142857145</v>
      </c>
    </row>
    <row r="153" spans="1:16" x14ac:dyDescent="0.35">
      <c r="A153" s="21" t="s">
        <v>181</v>
      </c>
      <c r="B153" s="8" t="s">
        <v>10</v>
      </c>
      <c r="C153" s="8" t="s">
        <v>56</v>
      </c>
      <c r="D153" s="8" t="s">
        <v>213</v>
      </c>
      <c r="E153" s="8" t="s">
        <v>219</v>
      </c>
      <c r="F153" s="22">
        <v>18000000</v>
      </c>
      <c r="G153" s="18">
        <v>0</v>
      </c>
      <c r="H153" s="21" t="s">
        <v>244</v>
      </c>
      <c r="I153" s="10">
        <v>0</v>
      </c>
      <c r="J153" s="8" t="s">
        <v>239</v>
      </c>
      <c r="K153" s="8" t="s">
        <v>239</v>
      </c>
      <c r="L153" s="10">
        <v>180</v>
      </c>
      <c r="M153" s="13">
        <v>6</v>
      </c>
      <c r="N153" s="10">
        <v>10000000000</v>
      </c>
      <c r="O153" s="15">
        <f t="shared" si="4"/>
        <v>-180</v>
      </c>
      <c r="P153" s="29">
        <f t="shared" si="5"/>
        <v>555.55555555555554</v>
      </c>
    </row>
    <row r="154" spans="1:16" x14ac:dyDescent="0.35">
      <c r="A154" s="21" t="s">
        <v>182</v>
      </c>
      <c r="B154" s="8" t="s">
        <v>10</v>
      </c>
      <c r="C154" s="8" t="s">
        <v>48</v>
      </c>
      <c r="D154" s="8" t="s">
        <v>216</v>
      </c>
      <c r="E154" s="8" t="s">
        <v>222</v>
      </c>
      <c r="F154" s="22">
        <v>60000000</v>
      </c>
      <c r="G154" s="18">
        <v>250</v>
      </c>
      <c r="H154" s="21" t="s">
        <v>224</v>
      </c>
      <c r="I154" s="10">
        <v>900</v>
      </c>
      <c r="J154" s="8" t="s">
        <v>221</v>
      </c>
      <c r="K154" s="8" t="s">
        <v>224</v>
      </c>
      <c r="L154" s="10">
        <v>900</v>
      </c>
      <c r="M154" s="13">
        <v>5</v>
      </c>
      <c r="N154" s="10">
        <v>450000000000</v>
      </c>
      <c r="O154" s="15">
        <f t="shared" si="4"/>
        <v>0</v>
      </c>
      <c r="P154" s="29">
        <f t="shared" si="5"/>
        <v>7500</v>
      </c>
    </row>
    <row r="155" spans="1:16" x14ac:dyDescent="0.35">
      <c r="A155" s="21" t="s">
        <v>183</v>
      </c>
      <c r="B155" s="8" t="s">
        <v>7</v>
      </c>
      <c r="C155" s="8" t="s">
        <v>8</v>
      </c>
      <c r="D155" s="8" t="s">
        <v>215</v>
      </c>
      <c r="E155" s="8" t="s">
        <v>221</v>
      </c>
      <c r="F155" s="22">
        <v>48000000</v>
      </c>
      <c r="G155" s="18">
        <v>1200</v>
      </c>
      <c r="H155" s="21" t="s">
        <v>219</v>
      </c>
      <c r="I155" s="10">
        <v>2700</v>
      </c>
      <c r="J155" s="8" t="s">
        <v>219</v>
      </c>
      <c r="K155" s="8" t="s">
        <v>220</v>
      </c>
      <c r="L155" s="10">
        <v>2200</v>
      </c>
      <c r="M155" s="13">
        <v>3</v>
      </c>
      <c r="N155" s="10">
        <v>1750000000000</v>
      </c>
      <c r="O155" s="15">
        <f t="shared" si="4"/>
        <v>500</v>
      </c>
      <c r="P155" s="29">
        <f t="shared" si="5"/>
        <v>36458.333333333336</v>
      </c>
    </row>
    <row r="156" spans="1:16" x14ac:dyDescent="0.35">
      <c r="A156" s="21" t="s">
        <v>184</v>
      </c>
      <c r="B156" s="8" t="s">
        <v>4</v>
      </c>
      <c r="C156" s="8" t="s">
        <v>5</v>
      </c>
      <c r="D156" s="8" t="s">
        <v>214</v>
      </c>
      <c r="E156" s="8" t="s">
        <v>220</v>
      </c>
      <c r="F156" s="22">
        <v>22000000</v>
      </c>
      <c r="G156" s="18">
        <v>120</v>
      </c>
      <c r="H156" s="21" t="s">
        <v>221</v>
      </c>
      <c r="I156" s="10">
        <v>360</v>
      </c>
      <c r="J156" s="8" t="s">
        <v>239</v>
      </c>
      <c r="K156" s="8" t="s">
        <v>221</v>
      </c>
      <c r="L156" s="10">
        <v>320</v>
      </c>
      <c r="M156" s="13">
        <v>8</v>
      </c>
      <c r="N156" s="10">
        <v>90000000000</v>
      </c>
      <c r="O156" s="15">
        <f t="shared" si="4"/>
        <v>40</v>
      </c>
      <c r="P156" s="29">
        <f t="shared" si="5"/>
        <v>4090.909090909091</v>
      </c>
    </row>
    <row r="157" spans="1:16" x14ac:dyDescent="0.35">
      <c r="A157" s="21" t="s">
        <v>185</v>
      </c>
      <c r="B157" s="8" t="s">
        <v>10</v>
      </c>
      <c r="C157" s="8" t="s">
        <v>11</v>
      </c>
      <c r="D157" s="8" t="s">
        <v>213</v>
      </c>
      <c r="E157" s="8" t="s">
        <v>219</v>
      </c>
      <c r="F157" s="22">
        <v>49000000</v>
      </c>
      <c r="G157" s="18">
        <v>40</v>
      </c>
      <c r="H157" s="21" t="s">
        <v>244</v>
      </c>
      <c r="I157" s="10">
        <v>110</v>
      </c>
      <c r="J157" s="8" t="s">
        <v>239</v>
      </c>
      <c r="K157" s="8" t="s">
        <v>239</v>
      </c>
      <c r="L157" s="10">
        <v>200</v>
      </c>
      <c r="M157" s="13">
        <v>80</v>
      </c>
      <c r="N157" s="10">
        <v>60000000000</v>
      </c>
      <c r="O157" s="15">
        <f t="shared" si="4"/>
        <v>-90</v>
      </c>
      <c r="P157" s="29">
        <f t="shared" si="5"/>
        <v>1224.4897959183672</v>
      </c>
    </row>
    <row r="158" spans="1:16" x14ac:dyDescent="0.35">
      <c r="A158" s="21" t="s">
        <v>186</v>
      </c>
      <c r="B158" s="8" t="s">
        <v>23</v>
      </c>
      <c r="C158" s="8" t="s">
        <v>23</v>
      </c>
      <c r="D158" s="8" t="s">
        <v>214</v>
      </c>
      <c r="E158" s="8" t="s">
        <v>220</v>
      </c>
      <c r="F158" s="22">
        <v>600000</v>
      </c>
      <c r="G158" s="18">
        <v>300</v>
      </c>
      <c r="H158" s="21" t="s">
        <v>221</v>
      </c>
      <c r="I158" s="10">
        <v>720</v>
      </c>
      <c r="J158" s="8" t="s">
        <v>221</v>
      </c>
      <c r="K158" s="8" t="s">
        <v>221</v>
      </c>
      <c r="L158" s="10">
        <v>650</v>
      </c>
      <c r="M158" s="13">
        <v>6</v>
      </c>
      <c r="N158" s="10">
        <v>9000000000</v>
      </c>
      <c r="O158" s="15">
        <f t="shared" si="4"/>
        <v>70</v>
      </c>
      <c r="P158" s="29">
        <f t="shared" si="5"/>
        <v>15000</v>
      </c>
    </row>
    <row r="159" spans="1:16" x14ac:dyDescent="0.35">
      <c r="A159" s="21" t="s">
        <v>187</v>
      </c>
      <c r="B159" s="8" t="s">
        <v>7</v>
      </c>
      <c r="C159" s="8" t="s">
        <v>80</v>
      </c>
      <c r="D159" s="8" t="s">
        <v>215</v>
      </c>
      <c r="E159" s="8" t="s">
        <v>221</v>
      </c>
      <c r="F159" s="22">
        <v>10500000</v>
      </c>
      <c r="G159" s="18">
        <v>0</v>
      </c>
      <c r="H159" s="21" t="s">
        <v>219</v>
      </c>
      <c r="I159" s="10">
        <v>5200</v>
      </c>
      <c r="J159" s="8" t="s">
        <v>219</v>
      </c>
      <c r="K159" s="8" t="s">
        <v>219</v>
      </c>
      <c r="L159" s="10">
        <v>3200</v>
      </c>
      <c r="M159" s="13">
        <v>3</v>
      </c>
      <c r="N159" s="10">
        <v>670000000000</v>
      </c>
      <c r="O159" s="15">
        <f t="shared" si="4"/>
        <v>2000</v>
      </c>
      <c r="P159" s="29">
        <f t="shared" si="5"/>
        <v>63809.523809523809</v>
      </c>
    </row>
    <row r="160" spans="1:16" x14ac:dyDescent="0.35">
      <c r="A160" s="21" t="s">
        <v>188</v>
      </c>
      <c r="B160" s="8" t="s">
        <v>7</v>
      </c>
      <c r="C160" s="8" t="s">
        <v>30</v>
      </c>
      <c r="D160" s="8" t="s">
        <v>215</v>
      </c>
      <c r="E160" s="8" t="s">
        <v>221</v>
      </c>
      <c r="F160" s="22">
        <v>9000000</v>
      </c>
      <c r="G160" s="18">
        <v>0</v>
      </c>
      <c r="H160" s="21" t="s">
        <v>219</v>
      </c>
      <c r="I160" s="10">
        <v>6500</v>
      </c>
      <c r="J160" s="8" t="s">
        <v>219</v>
      </c>
      <c r="K160" s="8" t="s">
        <v>219</v>
      </c>
      <c r="L160" s="10">
        <v>4200</v>
      </c>
      <c r="M160" s="13">
        <v>2</v>
      </c>
      <c r="N160" s="10">
        <v>950000000000</v>
      </c>
      <c r="O160" s="15">
        <f t="shared" si="4"/>
        <v>2300</v>
      </c>
      <c r="P160" s="29">
        <f t="shared" si="5"/>
        <v>105555.55555555556</v>
      </c>
    </row>
    <row r="161" spans="1:16" x14ac:dyDescent="0.35">
      <c r="A161" s="21" t="s">
        <v>189</v>
      </c>
      <c r="B161" s="8" t="s">
        <v>4</v>
      </c>
      <c r="C161" s="8" t="s">
        <v>25</v>
      </c>
      <c r="D161" s="8" t="s">
        <v>213</v>
      </c>
      <c r="E161" s="8" t="s">
        <v>219</v>
      </c>
      <c r="F161" s="22">
        <v>24000000</v>
      </c>
      <c r="G161" s="18">
        <v>20</v>
      </c>
      <c r="H161" s="21" t="s">
        <v>244</v>
      </c>
      <c r="I161" s="10">
        <v>60</v>
      </c>
      <c r="J161" s="8" t="s">
        <v>239</v>
      </c>
      <c r="K161" s="8" t="s">
        <v>239</v>
      </c>
      <c r="L161" s="10">
        <v>180</v>
      </c>
      <c r="M161" s="13">
        <v>50</v>
      </c>
      <c r="N161" s="10">
        <v>25000000000</v>
      </c>
      <c r="O161" s="15">
        <f t="shared" si="4"/>
        <v>-120</v>
      </c>
      <c r="P161" s="29">
        <f t="shared" si="5"/>
        <v>1041.6666666666667</v>
      </c>
    </row>
    <row r="162" spans="1:16" x14ac:dyDescent="0.35">
      <c r="A162" s="21" t="s">
        <v>190</v>
      </c>
      <c r="B162" s="8" t="s">
        <v>4</v>
      </c>
      <c r="C162" s="8" t="s">
        <v>67</v>
      </c>
      <c r="D162" s="8" t="s">
        <v>215</v>
      </c>
      <c r="E162" s="8" t="s">
        <v>221</v>
      </c>
      <c r="F162" s="22">
        <v>23000000</v>
      </c>
      <c r="G162" s="18">
        <v>900</v>
      </c>
      <c r="H162" s="21" t="s">
        <v>220</v>
      </c>
      <c r="I162" s="10">
        <v>3000</v>
      </c>
      <c r="J162" s="8" t="s">
        <v>220</v>
      </c>
      <c r="K162" s="8" t="s">
        <v>220</v>
      </c>
      <c r="L162" s="10">
        <v>2200</v>
      </c>
      <c r="M162" s="13">
        <v>3</v>
      </c>
      <c r="N162" s="10">
        <v>860000000000</v>
      </c>
      <c r="O162" s="15">
        <f t="shared" si="4"/>
        <v>800</v>
      </c>
      <c r="P162" s="29">
        <f t="shared" si="5"/>
        <v>37391.304347826088</v>
      </c>
    </row>
    <row r="163" spans="1:16" x14ac:dyDescent="0.35">
      <c r="A163" s="21" t="s">
        <v>191</v>
      </c>
      <c r="B163" s="8" t="s">
        <v>10</v>
      </c>
      <c r="C163" s="8" t="s">
        <v>56</v>
      </c>
      <c r="D163" s="8" t="s">
        <v>213</v>
      </c>
      <c r="E163" s="8" t="s">
        <v>219</v>
      </c>
      <c r="F163" s="22">
        <v>67000000</v>
      </c>
      <c r="G163" s="18">
        <v>70</v>
      </c>
      <c r="H163" s="21" t="s">
        <v>244</v>
      </c>
      <c r="I163" s="10">
        <v>220</v>
      </c>
      <c r="J163" s="8" t="s">
        <v>239</v>
      </c>
      <c r="K163" s="8" t="s">
        <v>239</v>
      </c>
      <c r="L163" s="10">
        <v>250</v>
      </c>
      <c r="M163" s="13">
        <v>5</v>
      </c>
      <c r="N163" s="10">
        <v>95000000000</v>
      </c>
      <c r="O163" s="15">
        <f t="shared" si="4"/>
        <v>-30</v>
      </c>
      <c r="P163" s="29">
        <f t="shared" si="5"/>
        <v>1417.9104477611941</v>
      </c>
    </row>
    <row r="164" spans="1:16" x14ac:dyDescent="0.35">
      <c r="A164" s="21" t="s">
        <v>192</v>
      </c>
      <c r="B164" s="8" t="s">
        <v>4</v>
      </c>
      <c r="C164" s="8" t="s">
        <v>51</v>
      </c>
      <c r="D164" s="8" t="s">
        <v>216</v>
      </c>
      <c r="E164" s="8" t="s">
        <v>222</v>
      </c>
      <c r="F164" s="22">
        <v>71000000</v>
      </c>
      <c r="G164" s="18">
        <v>250</v>
      </c>
      <c r="H164" s="21" t="s">
        <v>221</v>
      </c>
      <c r="I164" s="10">
        <v>720</v>
      </c>
      <c r="J164" s="8" t="s">
        <v>221</v>
      </c>
      <c r="K164" s="8" t="s">
        <v>221</v>
      </c>
      <c r="L164" s="10">
        <v>650</v>
      </c>
      <c r="M164" s="13">
        <v>2</v>
      </c>
      <c r="N164" s="10">
        <v>620000000000</v>
      </c>
      <c r="O164" s="15">
        <f t="shared" si="4"/>
        <v>70</v>
      </c>
      <c r="P164" s="29">
        <f t="shared" si="5"/>
        <v>8732.3943661971825</v>
      </c>
    </row>
    <row r="165" spans="1:16" x14ac:dyDescent="0.35">
      <c r="A165" s="21" t="s">
        <v>193</v>
      </c>
      <c r="B165" s="8" t="s">
        <v>10</v>
      </c>
      <c r="C165" s="8" t="s">
        <v>42</v>
      </c>
      <c r="D165" s="8" t="s">
        <v>213</v>
      </c>
      <c r="E165" s="8" t="s">
        <v>219</v>
      </c>
      <c r="F165" s="22">
        <v>9000000</v>
      </c>
      <c r="G165" s="18">
        <v>60</v>
      </c>
      <c r="H165" s="21" t="s">
        <v>244</v>
      </c>
      <c r="I165" s="10">
        <v>160</v>
      </c>
      <c r="J165" s="8" t="s">
        <v>239</v>
      </c>
      <c r="K165" s="8" t="s">
        <v>239</v>
      </c>
      <c r="L165" s="10">
        <v>220</v>
      </c>
      <c r="M165" s="13">
        <v>4</v>
      </c>
      <c r="N165" s="10">
        <v>16000000000</v>
      </c>
      <c r="O165" s="15">
        <f t="shared" si="4"/>
        <v>-60</v>
      </c>
      <c r="P165" s="29">
        <f t="shared" si="5"/>
        <v>1777.7777777777778</v>
      </c>
    </row>
    <row r="166" spans="1:16" x14ac:dyDescent="0.35">
      <c r="A166" s="21" t="s">
        <v>194</v>
      </c>
      <c r="B166" s="8" t="s">
        <v>19</v>
      </c>
      <c r="C166" s="8" t="s">
        <v>20</v>
      </c>
      <c r="D166" s="8" t="s">
        <v>216</v>
      </c>
      <c r="E166" s="8" t="s">
        <v>222</v>
      </c>
      <c r="F166" s="22">
        <v>1500000</v>
      </c>
      <c r="G166" s="18">
        <v>700</v>
      </c>
      <c r="H166" s="21" t="s">
        <v>220</v>
      </c>
      <c r="I166" s="10">
        <v>1800</v>
      </c>
      <c r="J166" s="8" t="s">
        <v>224</v>
      </c>
      <c r="K166" s="8" t="s">
        <v>220</v>
      </c>
      <c r="L166" s="10">
        <v>1800</v>
      </c>
      <c r="M166" s="13">
        <v>4</v>
      </c>
      <c r="N166" s="10">
        <v>26000000000</v>
      </c>
      <c r="O166" s="15">
        <f t="shared" si="4"/>
        <v>0</v>
      </c>
      <c r="P166" s="29">
        <f t="shared" si="5"/>
        <v>17333.333333333332</v>
      </c>
    </row>
    <row r="167" spans="1:16" x14ac:dyDescent="0.35">
      <c r="A167" s="21" t="s">
        <v>195</v>
      </c>
      <c r="B167" s="8" t="s">
        <v>10</v>
      </c>
      <c r="C167" s="8" t="s">
        <v>11</v>
      </c>
      <c r="D167" s="8" t="s">
        <v>214</v>
      </c>
      <c r="E167" s="8" t="s">
        <v>220</v>
      </c>
      <c r="F167" s="22">
        <v>12000000</v>
      </c>
      <c r="G167" s="18">
        <v>250</v>
      </c>
      <c r="H167" s="21" t="s">
        <v>221</v>
      </c>
      <c r="I167" s="10">
        <v>640</v>
      </c>
      <c r="J167" s="8" t="s">
        <v>239</v>
      </c>
      <c r="K167" s="8" t="s">
        <v>221</v>
      </c>
      <c r="L167" s="10">
        <v>500</v>
      </c>
      <c r="M167" s="13">
        <v>4</v>
      </c>
      <c r="N167" s="10">
        <v>60000000000</v>
      </c>
      <c r="O167" s="15">
        <f t="shared" si="4"/>
        <v>140</v>
      </c>
      <c r="P167" s="29">
        <f t="shared" si="5"/>
        <v>5000</v>
      </c>
    </row>
    <row r="168" spans="1:16" x14ac:dyDescent="0.35">
      <c r="A168" s="21" t="s">
        <v>196</v>
      </c>
      <c r="B168" s="8" t="s">
        <v>4</v>
      </c>
      <c r="C168" s="8" t="s">
        <v>25</v>
      </c>
      <c r="D168" s="8" t="s">
        <v>216</v>
      </c>
      <c r="E168" s="8" t="s">
        <v>222</v>
      </c>
      <c r="F168" s="22">
        <v>86000000</v>
      </c>
      <c r="G168" s="18">
        <v>600</v>
      </c>
      <c r="H168" s="21" t="s">
        <v>224</v>
      </c>
      <c r="I168" s="10">
        <v>1350</v>
      </c>
      <c r="J168" s="8" t="s">
        <v>221</v>
      </c>
      <c r="K168" s="8" t="s">
        <v>224</v>
      </c>
      <c r="L168" s="10">
        <v>900</v>
      </c>
      <c r="M168" s="13">
        <v>38</v>
      </c>
      <c r="N168" s="10">
        <v>1150000000000</v>
      </c>
      <c r="O168" s="15">
        <f t="shared" si="4"/>
        <v>450</v>
      </c>
      <c r="P168" s="29">
        <f t="shared" si="5"/>
        <v>13372.093023255815</v>
      </c>
    </row>
    <row r="169" spans="1:16" x14ac:dyDescent="0.35">
      <c r="A169" s="21" t="s">
        <v>197</v>
      </c>
      <c r="B169" s="8" t="s">
        <v>4</v>
      </c>
      <c r="C169" s="8" t="s">
        <v>124</v>
      </c>
      <c r="D169" s="8" t="s">
        <v>214</v>
      </c>
      <c r="E169" s="8" t="s">
        <v>220</v>
      </c>
      <c r="F169" s="22">
        <v>7000000</v>
      </c>
      <c r="G169" s="18">
        <v>200</v>
      </c>
      <c r="H169" s="21" t="s">
        <v>244</v>
      </c>
      <c r="I169" s="10">
        <v>480</v>
      </c>
      <c r="J169" s="8" t="s">
        <v>239</v>
      </c>
      <c r="K169" s="8" t="s">
        <v>239</v>
      </c>
      <c r="L169" s="10">
        <v>300</v>
      </c>
      <c r="M169" s="13">
        <v>5</v>
      </c>
      <c r="N169" s="10">
        <v>65000000000</v>
      </c>
      <c r="O169" s="15">
        <f t="shared" si="4"/>
        <v>180</v>
      </c>
      <c r="P169" s="29">
        <f t="shared" si="5"/>
        <v>9285.7142857142862</v>
      </c>
    </row>
    <row r="170" spans="1:16" x14ac:dyDescent="0.35">
      <c r="A170" s="21" t="s">
        <v>198</v>
      </c>
      <c r="B170" s="8" t="s">
        <v>10</v>
      </c>
      <c r="C170" s="8" t="s">
        <v>56</v>
      </c>
      <c r="D170" s="8" t="s">
        <v>213</v>
      </c>
      <c r="E170" s="8" t="s">
        <v>219</v>
      </c>
      <c r="F170" s="22">
        <v>50000000</v>
      </c>
      <c r="G170" s="18">
        <v>60</v>
      </c>
      <c r="H170" s="21" t="s">
        <v>244</v>
      </c>
      <c r="I170" s="10">
        <v>220</v>
      </c>
      <c r="J170" s="8" t="s">
        <v>239</v>
      </c>
      <c r="K170" s="8" t="s">
        <v>239</v>
      </c>
      <c r="L170" s="10">
        <v>220</v>
      </c>
      <c r="M170" s="13">
        <v>5</v>
      </c>
      <c r="N170" s="10">
        <v>85000000000</v>
      </c>
      <c r="O170" s="15">
        <f t="shared" si="4"/>
        <v>0</v>
      </c>
      <c r="P170" s="29">
        <f t="shared" si="5"/>
        <v>1700</v>
      </c>
    </row>
    <row r="171" spans="1:16" x14ac:dyDescent="0.35">
      <c r="A171" s="21" t="s">
        <v>199</v>
      </c>
      <c r="B171" s="8" t="s">
        <v>7</v>
      </c>
      <c r="C171" s="8" t="s">
        <v>37</v>
      </c>
      <c r="D171" s="8" t="s">
        <v>214</v>
      </c>
      <c r="E171" s="8" t="s">
        <v>220</v>
      </c>
      <c r="F171" s="22">
        <v>36000000</v>
      </c>
      <c r="G171" s="18">
        <v>200</v>
      </c>
      <c r="H171" s="21" t="s">
        <v>221</v>
      </c>
      <c r="I171" s="10">
        <v>560</v>
      </c>
      <c r="J171" s="8" t="s">
        <v>239</v>
      </c>
      <c r="K171" s="8" t="s">
        <v>221</v>
      </c>
      <c r="L171" s="10">
        <v>450</v>
      </c>
      <c r="M171" s="13">
        <v>7</v>
      </c>
      <c r="N171" s="10">
        <v>240000000000</v>
      </c>
      <c r="O171" s="15">
        <f t="shared" si="4"/>
        <v>110</v>
      </c>
      <c r="P171" s="29">
        <f t="shared" si="5"/>
        <v>6666.666666666667</v>
      </c>
    </row>
    <row r="172" spans="1:16" x14ac:dyDescent="0.35">
      <c r="A172" s="21" t="s">
        <v>200</v>
      </c>
      <c r="B172" s="8" t="s">
        <v>4</v>
      </c>
      <c r="C172" s="8" t="s">
        <v>25</v>
      </c>
      <c r="D172" s="8" t="s">
        <v>215</v>
      </c>
      <c r="E172" s="8" t="s">
        <v>221</v>
      </c>
      <c r="F172" s="22">
        <v>10000000</v>
      </c>
      <c r="G172" s="18">
        <v>1500</v>
      </c>
      <c r="H172" s="21" t="s">
        <v>219</v>
      </c>
      <c r="I172" s="10">
        <v>5000</v>
      </c>
      <c r="J172" s="8" t="s">
        <v>219</v>
      </c>
      <c r="K172" s="8" t="s">
        <v>220</v>
      </c>
      <c r="L172" s="10">
        <v>2800</v>
      </c>
      <c r="M172" s="13">
        <v>2</v>
      </c>
      <c r="N172" s="10">
        <v>610000000000</v>
      </c>
      <c r="O172" s="15">
        <f t="shared" si="4"/>
        <v>2200</v>
      </c>
      <c r="P172" s="29">
        <f t="shared" si="5"/>
        <v>61000</v>
      </c>
    </row>
    <row r="173" spans="1:16" x14ac:dyDescent="0.35">
      <c r="A173" s="21" t="s">
        <v>201</v>
      </c>
      <c r="B173" s="8" t="s">
        <v>7</v>
      </c>
      <c r="C173" s="8" t="s">
        <v>80</v>
      </c>
      <c r="D173" s="8" t="s">
        <v>215</v>
      </c>
      <c r="E173" s="8" t="s">
        <v>221</v>
      </c>
      <c r="F173" s="22">
        <v>68000000</v>
      </c>
      <c r="G173" s="18">
        <v>2000</v>
      </c>
      <c r="H173" s="21" t="s">
        <v>219</v>
      </c>
      <c r="I173" s="10">
        <v>4700</v>
      </c>
      <c r="J173" s="8" t="s">
        <v>219</v>
      </c>
      <c r="K173" s="8" t="s">
        <v>219</v>
      </c>
      <c r="L173" s="10">
        <v>3200</v>
      </c>
      <c r="M173" s="13">
        <v>3</v>
      </c>
      <c r="N173" s="10">
        <v>3100000000000</v>
      </c>
      <c r="O173" s="15">
        <f t="shared" si="4"/>
        <v>1500</v>
      </c>
      <c r="P173" s="29">
        <f t="shared" si="5"/>
        <v>45588.23529411765</v>
      </c>
    </row>
    <row r="174" spans="1:16" x14ac:dyDescent="0.35">
      <c r="A174" s="21" t="s">
        <v>202</v>
      </c>
      <c r="B174" s="8" t="s">
        <v>19</v>
      </c>
      <c r="C174" s="8" t="s">
        <v>60</v>
      </c>
      <c r="D174" s="8" t="s">
        <v>215</v>
      </c>
      <c r="E174" s="8" t="s">
        <v>221</v>
      </c>
      <c r="F174" s="22">
        <v>340000000</v>
      </c>
      <c r="G174" s="18">
        <v>1250</v>
      </c>
      <c r="H174" s="21" t="s">
        <v>219</v>
      </c>
      <c r="I174" s="10">
        <v>5000</v>
      </c>
      <c r="J174" s="8" t="s">
        <v>219</v>
      </c>
      <c r="K174" s="8" t="s">
        <v>219</v>
      </c>
      <c r="L174" s="10">
        <v>3500</v>
      </c>
      <c r="M174" s="13">
        <v>3</v>
      </c>
      <c r="N174" s="10">
        <v>29000000000000</v>
      </c>
      <c r="O174" s="15">
        <f t="shared" si="4"/>
        <v>1500</v>
      </c>
      <c r="P174" s="29">
        <f t="shared" si="5"/>
        <v>85294.117647058825</v>
      </c>
    </row>
    <row r="175" spans="1:16" x14ac:dyDescent="0.35">
      <c r="A175" s="21" t="s">
        <v>203</v>
      </c>
      <c r="B175" s="8" t="s">
        <v>23</v>
      </c>
      <c r="C175" s="8" t="s">
        <v>23</v>
      </c>
      <c r="D175" s="8" t="s">
        <v>215</v>
      </c>
      <c r="E175" s="8" t="s">
        <v>221</v>
      </c>
      <c r="F175" s="22">
        <v>3500000</v>
      </c>
      <c r="G175" s="18">
        <v>600</v>
      </c>
      <c r="H175" s="21" t="s">
        <v>224</v>
      </c>
      <c r="I175" s="10">
        <v>1500</v>
      </c>
      <c r="J175" s="8" t="s">
        <v>224</v>
      </c>
      <c r="K175" s="8" t="s">
        <v>220</v>
      </c>
      <c r="L175" s="10">
        <v>1600</v>
      </c>
      <c r="M175" s="13">
        <v>4</v>
      </c>
      <c r="N175" s="10">
        <v>90000000000</v>
      </c>
      <c r="O175" s="15">
        <f t="shared" si="4"/>
        <v>-100</v>
      </c>
      <c r="P175" s="29">
        <f t="shared" si="5"/>
        <v>25714.285714285714</v>
      </c>
    </row>
    <row r="176" spans="1:16" x14ac:dyDescent="0.35">
      <c r="A176" s="21" t="s">
        <v>204</v>
      </c>
      <c r="B176" s="8" t="s">
        <v>4</v>
      </c>
      <c r="C176" s="8" t="s">
        <v>124</v>
      </c>
      <c r="D176" s="8" t="s">
        <v>214</v>
      </c>
      <c r="E176" s="8" t="s">
        <v>220</v>
      </c>
      <c r="F176" s="22">
        <v>36000000</v>
      </c>
      <c r="G176" s="18">
        <v>120</v>
      </c>
      <c r="H176" s="21" t="s">
        <v>221</v>
      </c>
      <c r="I176" s="10">
        <v>360</v>
      </c>
      <c r="J176" s="8" t="s">
        <v>239</v>
      </c>
      <c r="K176" s="8" t="s">
        <v>239</v>
      </c>
      <c r="L176" s="10">
        <v>320</v>
      </c>
      <c r="M176" s="13">
        <v>6</v>
      </c>
      <c r="N176" s="10">
        <v>130000000000</v>
      </c>
      <c r="O176" s="15">
        <f t="shared" si="4"/>
        <v>40</v>
      </c>
      <c r="P176" s="29">
        <f t="shared" si="5"/>
        <v>3611.1111111111113</v>
      </c>
    </row>
    <row r="177" spans="1:16" x14ac:dyDescent="0.35">
      <c r="A177" s="21" t="s">
        <v>205</v>
      </c>
      <c r="B177" s="8" t="s">
        <v>23</v>
      </c>
      <c r="C177" s="8" t="s">
        <v>23</v>
      </c>
      <c r="D177" s="8" t="s">
        <v>214</v>
      </c>
      <c r="E177" s="8" t="s">
        <v>220</v>
      </c>
      <c r="F177" s="22">
        <v>28000000</v>
      </c>
      <c r="G177" s="18">
        <v>5</v>
      </c>
      <c r="H177" s="21" t="s">
        <v>244</v>
      </c>
      <c r="I177" s="10">
        <v>30</v>
      </c>
      <c r="J177" s="8" t="s">
        <v>239</v>
      </c>
      <c r="K177" s="8" t="s">
        <v>239</v>
      </c>
      <c r="L177" s="10">
        <v>250</v>
      </c>
      <c r="M177" s="13">
        <v>200</v>
      </c>
      <c r="N177" s="10">
        <v>130000000000</v>
      </c>
      <c r="O177" s="15">
        <f t="shared" si="4"/>
        <v>-220</v>
      </c>
      <c r="P177" s="29">
        <f t="shared" si="5"/>
        <v>4642.8571428571431</v>
      </c>
    </row>
    <row r="178" spans="1:16" x14ac:dyDescent="0.35">
      <c r="A178" s="21" t="s">
        <v>206</v>
      </c>
      <c r="B178" s="8" t="s">
        <v>4</v>
      </c>
      <c r="C178" s="8" t="s">
        <v>51</v>
      </c>
      <c r="D178" s="8" t="s">
        <v>214</v>
      </c>
      <c r="E178" s="8" t="s">
        <v>220</v>
      </c>
      <c r="F178" s="22">
        <v>100000000</v>
      </c>
      <c r="G178" s="18">
        <v>180</v>
      </c>
      <c r="H178" s="21" t="s">
        <v>221</v>
      </c>
      <c r="I178" s="10">
        <v>560</v>
      </c>
      <c r="J178" s="8" t="s">
        <v>239</v>
      </c>
      <c r="K178" s="8" t="s">
        <v>221</v>
      </c>
      <c r="L178" s="10">
        <v>450</v>
      </c>
      <c r="M178" s="13">
        <v>4</v>
      </c>
      <c r="N178" s="10">
        <v>550000000000</v>
      </c>
      <c r="O178" s="15">
        <f t="shared" si="4"/>
        <v>110</v>
      </c>
      <c r="P178" s="29">
        <f t="shared" si="5"/>
        <v>5500</v>
      </c>
    </row>
    <row r="179" spans="1:16" x14ac:dyDescent="0.35">
      <c r="A179" s="21" t="s">
        <v>207</v>
      </c>
      <c r="B179" s="8" t="s">
        <v>4</v>
      </c>
      <c r="C179" s="8" t="s">
        <v>25</v>
      </c>
      <c r="D179" s="8" t="s">
        <v>213</v>
      </c>
      <c r="E179" s="8" t="s">
        <v>219</v>
      </c>
      <c r="F179" s="22">
        <v>5000000</v>
      </c>
      <c r="G179" s="18">
        <v>400</v>
      </c>
      <c r="H179" s="21" t="s">
        <v>224</v>
      </c>
      <c r="I179" s="10">
        <v>720</v>
      </c>
      <c r="J179" s="8" t="s">
        <v>221</v>
      </c>
      <c r="K179" s="8" t="s">
        <v>221</v>
      </c>
      <c r="L179" s="10">
        <v>600</v>
      </c>
      <c r="M179" s="13">
        <v>4</v>
      </c>
      <c r="N179" s="10">
        <v>18000000000</v>
      </c>
      <c r="O179" s="15">
        <f t="shared" si="4"/>
        <v>120</v>
      </c>
      <c r="P179" s="29">
        <f t="shared" si="5"/>
        <v>3600</v>
      </c>
    </row>
    <row r="180" spans="1:16" x14ac:dyDescent="0.35">
      <c r="A180" s="21" t="s">
        <v>208</v>
      </c>
      <c r="B180" s="8" t="s">
        <v>10</v>
      </c>
      <c r="C180" s="8" t="s">
        <v>11</v>
      </c>
      <c r="D180" s="8" t="s">
        <v>213</v>
      </c>
      <c r="E180" s="8" t="s">
        <v>219</v>
      </c>
      <c r="F180" s="22">
        <v>600000</v>
      </c>
      <c r="G180" s="18">
        <v>0</v>
      </c>
      <c r="H180" s="21" t="s">
        <v>244</v>
      </c>
      <c r="I180" s="10">
        <v>0</v>
      </c>
      <c r="J180" s="8" t="s">
        <v>239</v>
      </c>
      <c r="K180" s="8" t="s">
        <v>239</v>
      </c>
      <c r="L180" s="10">
        <v>200</v>
      </c>
      <c r="M180" s="13">
        <v>4</v>
      </c>
      <c r="N180" s="10">
        <v>3000000000</v>
      </c>
      <c r="O180" s="15">
        <f t="shared" si="4"/>
        <v>-200</v>
      </c>
      <c r="P180" s="29">
        <f t="shared" si="5"/>
        <v>5000</v>
      </c>
    </row>
    <row r="181" spans="1:16" x14ac:dyDescent="0.35">
      <c r="A181" s="21" t="s">
        <v>209</v>
      </c>
      <c r="B181" s="8" t="s">
        <v>4</v>
      </c>
      <c r="C181" s="8" t="s">
        <v>25</v>
      </c>
      <c r="D181" s="8" t="s">
        <v>213</v>
      </c>
      <c r="E181" s="8" t="s">
        <v>219</v>
      </c>
      <c r="F181" s="22">
        <v>34000000</v>
      </c>
      <c r="G181" s="18">
        <v>30</v>
      </c>
      <c r="H181" s="21" t="s">
        <v>244</v>
      </c>
      <c r="I181" s="10">
        <v>90</v>
      </c>
      <c r="J181" s="8" t="s">
        <v>239</v>
      </c>
      <c r="K181" s="8" t="s">
        <v>239</v>
      </c>
      <c r="L181" s="10">
        <v>180</v>
      </c>
      <c r="M181" s="13">
        <v>30</v>
      </c>
      <c r="N181" s="10">
        <v>28000000000</v>
      </c>
      <c r="O181" s="15">
        <f t="shared" si="4"/>
        <v>-90</v>
      </c>
      <c r="P181" s="29">
        <f t="shared" si="5"/>
        <v>823.52941176470586</v>
      </c>
    </row>
    <row r="182" spans="1:16" x14ac:dyDescent="0.35">
      <c r="A182" s="21" t="s">
        <v>210</v>
      </c>
      <c r="B182" s="8" t="s">
        <v>10</v>
      </c>
      <c r="C182" s="8" t="s">
        <v>48</v>
      </c>
      <c r="D182" s="8" t="s">
        <v>213</v>
      </c>
      <c r="E182" s="8" t="s">
        <v>219</v>
      </c>
      <c r="F182" s="22">
        <v>21000000</v>
      </c>
      <c r="G182" s="18">
        <v>80</v>
      </c>
      <c r="H182" s="21" t="s">
        <v>244</v>
      </c>
      <c r="I182" s="10">
        <v>240</v>
      </c>
      <c r="J182" s="8" t="s">
        <v>239</v>
      </c>
      <c r="K182" s="8" t="s">
        <v>239</v>
      </c>
      <c r="L182" s="10">
        <v>300</v>
      </c>
      <c r="M182" s="13">
        <v>8</v>
      </c>
      <c r="N182" s="10">
        <v>38000000000</v>
      </c>
      <c r="O182" s="15">
        <f t="shared" si="4"/>
        <v>-60</v>
      </c>
      <c r="P182" s="29">
        <f t="shared" si="5"/>
        <v>1809.5238095238096</v>
      </c>
    </row>
    <row r="183" spans="1:16" x14ac:dyDescent="0.35">
      <c r="A183" s="26" t="s">
        <v>211</v>
      </c>
      <c r="B183" s="27" t="s">
        <v>10</v>
      </c>
      <c r="C183" s="27" t="s">
        <v>48</v>
      </c>
      <c r="D183" s="27" t="s">
        <v>213</v>
      </c>
      <c r="E183" s="27" t="s">
        <v>219</v>
      </c>
      <c r="F183" s="28">
        <v>17000000</v>
      </c>
      <c r="G183" s="20">
        <v>100</v>
      </c>
      <c r="H183" s="26" t="s">
        <v>244</v>
      </c>
      <c r="I183" s="34">
        <v>280</v>
      </c>
      <c r="J183" s="27" t="s">
        <v>239</v>
      </c>
      <c r="K183" s="27" t="s">
        <v>239</v>
      </c>
      <c r="L183" s="34">
        <v>250</v>
      </c>
      <c r="M183" s="35">
        <v>90</v>
      </c>
      <c r="N183" s="34">
        <v>32000000000</v>
      </c>
      <c r="O183" s="36">
        <f t="shared" si="4"/>
        <v>30</v>
      </c>
      <c r="P183" s="37">
        <f t="shared" si="5"/>
        <v>1882.3529411764705</v>
      </c>
    </row>
  </sheetData>
  <pageMargins left="0.7" right="0.7" top="0.75" bottom="0.75" header="0.3" footer="0.3"/>
  <legacyDrawing r:id="rId1"/>
  <tableParts count="3">
    <tablePart r:id="rId2"/>
    <tablePart r:id="rId3"/>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P183"/>
  <sheetViews>
    <sheetView topLeftCell="J1" workbookViewId="0">
      <selection sqref="A1:P183"/>
    </sheetView>
  </sheetViews>
  <sheetFormatPr defaultRowHeight="15" x14ac:dyDescent="0.25"/>
  <cols>
    <col min="1" max="1" width="27.140625" style="2" bestFit="1" customWidth="1"/>
    <col min="2" max="2" width="14" style="2" bestFit="1" customWidth="1"/>
    <col min="3" max="3" width="23.140625" style="2" bestFit="1" customWidth="1"/>
    <col min="4" max="4" width="20.85546875" style="2" bestFit="1" customWidth="1"/>
    <col min="5" max="5" width="22.7109375" style="2" bestFit="1" customWidth="1"/>
    <col min="6" max="6" width="14.7109375" style="4" bestFit="1" customWidth="1"/>
    <col min="7" max="7" width="22" style="3" bestFit="1" customWidth="1"/>
    <col min="8" max="8" width="14.42578125" style="2" bestFit="1" customWidth="1"/>
    <col min="9" max="9" width="31.140625" style="3" bestFit="1" customWidth="1"/>
    <col min="10" max="10" width="22.5703125" style="2" bestFit="1" customWidth="1"/>
    <col min="11" max="11" width="21.28515625" style="2" bestFit="1" customWidth="1"/>
    <col min="12" max="12" width="35.140625" style="3" bestFit="1" customWidth="1"/>
    <col min="13" max="13" width="28.28515625" style="4" bestFit="1" customWidth="1"/>
    <col min="14" max="14" width="23.5703125" style="3" customWidth="1"/>
    <col min="15" max="15" width="20.28515625" style="3" bestFit="1" customWidth="1"/>
    <col min="16" max="16" width="16.7109375" style="3" bestFit="1" customWidth="1"/>
  </cols>
  <sheetData>
    <row r="1" spans="1:16" x14ac:dyDescent="0.25">
      <c r="A1" s="2" t="s">
        <v>0</v>
      </c>
      <c r="B1" s="2" t="s">
        <v>1</v>
      </c>
      <c r="C1" s="2" t="s">
        <v>2</v>
      </c>
      <c r="D1" s="2" t="s">
        <v>212</v>
      </c>
      <c r="E1" s="2" t="s">
        <v>218</v>
      </c>
      <c r="F1" s="4" t="s">
        <v>223</v>
      </c>
      <c r="G1" s="3" t="s">
        <v>225</v>
      </c>
      <c r="H1" s="2" t="s">
        <v>236</v>
      </c>
      <c r="I1" s="3" t="s">
        <v>229</v>
      </c>
      <c r="J1" s="2" t="s">
        <v>238</v>
      </c>
      <c r="K1" s="2" t="s">
        <v>240</v>
      </c>
      <c r="L1" s="3" t="s">
        <v>233</v>
      </c>
      <c r="M1" s="4" t="s">
        <v>234</v>
      </c>
      <c r="N1" s="3" t="s">
        <v>241</v>
      </c>
      <c r="O1" s="3" t="s">
        <v>242</v>
      </c>
      <c r="P1" s="3" t="s">
        <v>243</v>
      </c>
    </row>
    <row r="2" spans="1:16" x14ac:dyDescent="0.25">
      <c r="A2" s="2" t="s">
        <v>3</v>
      </c>
      <c r="B2" s="2" t="s">
        <v>4</v>
      </c>
      <c r="C2" s="2" t="s">
        <v>5</v>
      </c>
      <c r="D2" s="2" t="s">
        <v>213</v>
      </c>
      <c r="E2" s="2" t="s">
        <v>219</v>
      </c>
      <c r="F2" s="4">
        <v>42000000</v>
      </c>
      <c r="G2" s="3">
        <v>50</v>
      </c>
      <c r="H2" s="2" t="s">
        <v>239</v>
      </c>
      <c r="I2" s="3">
        <v>90</v>
      </c>
      <c r="J2" s="2" t="s">
        <v>239</v>
      </c>
      <c r="K2" s="2" t="s">
        <v>239</v>
      </c>
      <c r="L2" s="3">
        <v>180</v>
      </c>
      <c r="M2" s="4">
        <v>10</v>
      </c>
      <c r="N2" s="3">
        <v>20000000000</v>
      </c>
      <c r="O2" s="3">
        <v>-90</v>
      </c>
      <c r="P2" s="3">
        <v>476.19049999999999</v>
      </c>
    </row>
    <row r="3" spans="1:16" x14ac:dyDescent="0.25">
      <c r="A3" s="2" t="s">
        <v>6</v>
      </c>
      <c r="B3" s="2" t="s">
        <v>7</v>
      </c>
      <c r="C3" s="2" t="s">
        <v>8</v>
      </c>
      <c r="D3" s="2" t="s">
        <v>214</v>
      </c>
      <c r="E3" s="2" t="s">
        <v>220</v>
      </c>
      <c r="F3" s="4">
        <v>2800000</v>
      </c>
      <c r="G3" s="3">
        <v>320</v>
      </c>
      <c r="H3" s="2" t="s">
        <v>224</v>
      </c>
      <c r="I3" s="3">
        <v>680</v>
      </c>
      <c r="J3" s="2" t="s">
        <v>221</v>
      </c>
      <c r="K3" s="2" t="s">
        <v>221</v>
      </c>
      <c r="L3" s="3">
        <v>520</v>
      </c>
      <c r="M3" s="4">
        <v>4</v>
      </c>
      <c r="N3" s="3">
        <v>28000000000</v>
      </c>
      <c r="O3" s="3">
        <v>160</v>
      </c>
      <c r="P3" s="3">
        <v>10000</v>
      </c>
    </row>
    <row r="4" spans="1:16" x14ac:dyDescent="0.25">
      <c r="A4" s="2" t="s">
        <v>9</v>
      </c>
      <c r="B4" s="2" t="s">
        <v>10</v>
      </c>
      <c r="C4" s="2" t="s">
        <v>11</v>
      </c>
      <c r="D4" s="2" t="s">
        <v>214</v>
      </c>
      <c r="E4" s="2" t="s">
        <v>220</v>
      </c>
      <c r="F4" s="4">
        <v>46000000</v>
      </c>
      <c r="G4" s="3">
        <v>150</v>
      </c>
      <c r="H4" s="2" t="s">
        <v>221</v>
      </c>
      <c r="I4" s="3">
        <v>520</v>
      </c>
      <c r="J4" s="2" t="s">
        <v>221</v>
      </c>
      <c r="K4" s="2" t="s">
        <v>221</v>
      </c>
      <c r="L4" s="3">
        <v>450</v>
      </c>
      <c r="M4" s="4">
        <v>5</v>
      </c>
      <c r="N4" s="3">
        <v>260000000000</v>
      </c>
      <c r="O4" s="3">
        <v>70</v>
      </c>
      <c r="P4" s="3">
        <v>5652.1738999999998</v>
      </c>
    </row>
    <row r="5" spans="1:16" x14ac:dyDescent="0.25">
      <c r="A5" s="2" t="s">
        <v>12</v>
      </c>
      <c r="B5" s="2" t="s">
        <v>13</v>
      </c>
      <c r="C5" s="2" t="s">
        <v>14</v>
      </c>
      <c r="D5" s="2" t="s">
        <v>214</v>
      </c>
      <c r="E5" s="2" t="s">
        <v>220</v>
      </c>
      <c r="F5" s="4">
        <v>50000</v>
      </c>
      <c r="G5" s="3">
        <v>1200</v>
      </c>
      <c r="H5" s="2" t="s">
        <v>220</v>
      </c>
      <c r="I5" s="3">
        <v>2900</v>
      </c>
      <c r="J5" s="2" t="s">
        <v>220</v>
      </c>
      <c r="K5" s="2" t="s">
        <v>220</v>
      </c>
      <c r="L5" s="3">
        <v>1800</v>
      </c>
      <c r="M5" s="4">
        <v>3</v>
      </c>
      <c r="N5" s="3">
        <v>1000000000</v>
      </c>
      <c r="O5" s="3">
        <v>1100</v>
      </c>
      <c r="P5" s="3">
        <v>20000</v>
      </c>
    </row>
    <row r="6" spans="1:16" x14ac:dyDescent="0.25">
      <c r="A6" s="2" t="s">
        <v>15</v>
      </c>
      <c r="B6" s="2" t="s">
        <v>7</v>
      </c>
      <c r="C6" s="2" t="s">
        <v>8</v>
      </c>
      <c r="D6" s="2" t="s">
        <v>215</v>
      </c>
      <c r="E6" s="2" t="s">
        <v>221</v>
      </c>
      <c r="F6" s="4">
        <v>80000</v>
      </c>
      <c r="G6" s="3">
        <v>1600</v>
      </c>
      <c r="H6" s="2" t="s">
        <v>219</v>
      </c>
      <c r="I6" s="3">
        <v>3200</v>
      </c>
      <c r="J6" s="2" t="s">
        <v>220</v>
      </c>
      <c r="K6" s="2" t="s">
        <v>219</v>
      </c>
      <c r="L6" s="3">
        <v>2200</v>
      </c>
      <c r="M6" s="4">
        <v>3</v>
      </c>
      <c r="N6" s="3">
        <v>3000000000</v>
      </c>
      <c r="O6" s="3">
        <v>1000</v>
      </c>
      <c r="P6" s="3">
        <v>37500</v>
      </c>
    </row>
    <row r="7" spans="1:16" x14ac:dyDescent="0.25">
      <c r="A7" s="2" t="s">
        <v>16</v>
      </c>
      <c r="B7" s="2" t="s">
        <v>10</v>
      </c>
      <c r="C7" s="2" t="s">
        <v>17</v>
      </c>
      <c r="D7" s="2" t="s">
        <v>213</v>
      </c>
      <c r="E7" s="2" t="s">
        <v>219</v>
      </c>
      <c r="F7" s="4">
        <v>36000000</v>
      </c>
      <c r="G7" s="3">
        <v>70</v>
      </c>
      <c r="H7" s="2" t="s">
        <v>239</v>
      </c>
      <c r="I7" s="3">
        <v>210</v>
      </c>
      <c r="J7" s="2" t="s">
        <v>239</v>
      </c>
      <c r="K7" s="2" t="s">
        <v>221</v>
      </c>
      <c r="L7" s="3">
        <v>500</v>
      </c>
      <c r="M7" s="4">
        <v>20</v>
      </c>
      <c r="N7" s="3">
        <v>115000000000</v>
      </c>
      <c r="O7" s="3">
        <v>-290</v>
      </c>
      <c r="P7" s="3">
        <v>3194.4443999999999</v>
      </c>
    </row>
    <row r="8" spans="1:16" x14ac:dyDescent="0.25">
      <c r="A8" s="2" t="s">
        <v>18</v>
      </c>
      <c r="B8" s="2" t="s">
        <v>19</v>
      </c>
      <c r="C8" s="2" t="s">
        <v>20</v>
      </c>
      <c r="D8" s="2" t="s">
        <v>214</v>
      </c>
      <c r="E8" s="2" t="s">
        <v>220</v>
      </c>
      <c r="F8" s="4">
        <v>15000</v>
      </c>
      <c r="G8" s="3">
        <v>1000</v>
      </c>
      <c r="H8" s="2" t="s">
        <v>220</v>
      </c>
      <c r="I8" s="3">
        <v>2600</v>
      </c>
      <c r="J8" s="2" t="s">
        <v>220</v>
      </c>
      <c r="K8" s="2" t="s">
        <v>220</v>
      </c>
      <c r="L8" s="3">
        <v>2200</v>
      </c>
      <c r="M8" s="4">
        <v>3</v>
      </c>
      <c r="N8" s="3">
        <v>1000000000</v>
      </c>
      <c r="O8" s="3">
        <v>400</v>
      </c>
      <c r="P8" s="3">
        <v>66666.666700000002</v>
      </c>
    </row>
    <row r="9" spans="1:16" x14ac:dyDescent="0.25">
      <c r="A9" s="2" t="s">
        <v>21</v>
      </c>
      <c r="B9" s="2" t="s">
        <v>19</v>
      </c>
      <c r="C9" s="2" t="s">
        <v>20</v>
      </c>
      <c r="D9" s="2" t="s">
        <v>216</v>
      </c>
      <c r="E9" s="2" t="s">
        <v>222</v>
      </c>
      <c r="F9" s="4">
        <v>100000</v>
      </c>
      <c r="G9" s="3">
        <v>600</v>
      </c>
      <c r="H9" s="2" t="s">
        <v>224</v>
      </c>
      <c r="I9" s="3">
        <v>1900</v>
      </c>
      <c r="J9" s="2" t="s">
        <v>224</v>
      </c>
      <c r="K9" s="2" t="s">
        <v>220</v>
      </c>
      <c r="L9" s="3">
        <v>2000</v>
      </c>
      <c r="M9" s="4">
        <v>4</v>
      </c>
      <c r="N9" s="3">
        <v>2000000000</v>
      </c>
      <c r="O9" s="3">
        <v>-100</v>
      </c>
      <c r="P9" s="3">
        <v>20000</v>
      </c>
    </row>
    <row r="10" spans="1:16" x14ac:dyDescent="0.25">
      <c r="A10" s="2" t="s">
        <v>22</v>
      </c>
      <c r="B10" s="2" t="s">
        <v>23</v>
      </c>
      <c r="C10" s="2" t="s">
        <v>23</v>
      </c>
      <c r="D10" s="2" t="s">
        <v>216</v>
      </c>
      <c r="E10" s="2" t="s">
        <v>222</v>
      </c>
      <c r="F10" s="4">
        <v>46000000</v>
      </c>
      <c r="G10" s="3">
        <v>200</v>
      </c>
      <c r="H10" s="2" t="s">
        <v>221</v>
      </c>
      <c r="I10" s="3">
        <v>640</v>
      </c>
      <c r="J10" s="2" t="s">
        <v>221</v>
      </c>
      <c r="K10" s="2" t="s">
        <v>224</v>
      </c>
      <c r="L10" s="3">
        <v>650</v>
      </c>
      <c r="M10" s="4">
        <v>30</v>
      </c>
      <c r="N10" s="3">
        <v>620000000000</v>
      </c>
      <c r="O10" s="3">
        <v>-10</v>
      </c>
      <c r="P10" s="3">
        <v>13478.260899999999</v>
      </c>
    </row>
    <row r="11" spans="1:16" x14ac:dyDescent="0.25">
      <c r="A11" s="2" t="s">
        <v>24</v>
      </c>
      <c r="B11" s="2" t="s">
        <v>4</v>
      </c>
      <c r="C11" s="2" t="s">
        <v>25</v>
      </c>
      <c r="D11" s="2" t="s">
        <v>214</v>
      </c>
      <c r="E11" s="2" t="s">
        <v>220</v>
      </c>
      <c r="F11" s="4">
        <v>3000000</v>
      </c>
      <c r="G11" s="3">
        <v>300</v>
      </c>
      <c r="H11" s="2" t="s">
        <v>224</v>
      </c>
      <c r="I11" s="3">
        <v>720</v>
      </c>
      <c r="J11" s="2" t="s">
        <v>221</v>
      </c>
      <c r="K11" s="2" t="s">
        <v>221</v>
      </c>
      <c r="L11" s="3">
        <v>500</v>
      </c>
      <c r="M11" s="4">
        <v>4</v>
      </c>
      <c r="N11" s="3">
        <v>28000000000</v>
      </c>
      <c r="O11" s="3">
        <v>220</v>
      </c>
      <c r="P11" s="3">
        <v>9333.3333000000002</v>
      </c>
    </row>
    <row r="12" spans="1:16" x14ac:dyDescent="0.25">
      <c r="A12" s="2" t="s">
        <v>26</v>
      </c>
      <c r="B12" s="2" t="s">
        <v>19</v>
      </c>
      <c r="C12" s="2" t="s">
        <v>20</v>
      </c>
      <c r="D12" s="2" t="s">
        <v>216</v>
      </c>
      <c r="E12" s="2" t="s">
        <v>222</v>
      </c>
      <c r="F12" s="4">
        <v>110000</v>
      </c>
      <c r="G12" s="3">
        <v>900</v>
      </c>
      <c r="H12" s="2" t="s">
        <v>220</v>
      </c>
      <c r="I12" s="3">
        <v>2400</v>
      </c>
      <c r="J12" s="2" t="s">
        <v>220</v>
      </c>
      <c r="K12" s="2" t="s">
        <v>219</v>
      </c>
      <c r="L12" s="3">
        <v>2400</v>
      </c>
      <c r="M12" s="4">
        <v>4</v>
      </c>
      <c r="N12" s="3">
        <v>4000000000</v>
      </c>
      <c r="O12" s="3">
        <v>0</v>
      </c>
      <c r="P12" s="3">
        <v>36363.636400000003</v>
      </c>
    </row>
    <row r="13" spans="1:16" x14ac:dyDescent="0.25">
      <c r="A13" s="2" t="s">
        <v>27</v>
      </c>
      <c r="B13" s="2" t="s">
        <v>13</v>
      </c>
      <c r="C13" s="2" t="s">
        <v>28</v>
      </c>
      <c r="D13" s="2" t="s">
        <v>215</v>
      </c>
      <c r="E13" s="2" t="s">
        <v>221</v>
      </c>
      <c r="F13" s="4">
        <v>26000000</v>
      </c>
      <c r="G13" s="3">
        <v>2600</v>
      </c>
      <c r="H13" s="2" t="s">
        <v>219</v>
      </c>
      <c r="I13" s="3">
        <v>5000</v>
      </c>
      <c r="J13" s="2" t="s">
        <v>219</v>
      </c>
      <c r="K13" s="2" t="s">
        <v>219</v>
      </c>
      <c r="L13" s="3">
        <v>2800</v>
      </c>
      <c r="M13" s="4">
        <v>3</v>
      </c>
      <c r="N13" s="3">
        <v>1800000000000</v>
      </c>
      <c r="O13" s="3">
        <v>2200</v>
      </c>
      <c r="P13" s="3">
        <v>69230.769199999995</v>
      </c>
    </row>
    <row r="14" spans="1:16" x14ac:dyDescent="0.25">
      <c r="A14" s="2" t="s">
        <v>29</v>
      </c>
      <c r="B14" s="2" t="s">
        <v>7</v>
      </c>
      <c r="C14" s="2" t="s">
        <v>30</v>
      </c>
      <c r="D14" s="2" t="s">
        <v>215</v>
      </c>
      <c r="E14" s="2" t="s">
        <v>221</v>
      </c>
      <c r="F14" s="4">
        <v>9000000</v>
      </c>
      <c r="G14" s="3">
        <v>0</v>
      </c>
      <c r="H14" s="2" t="s">
        <v>219</v>
      </c>
      <c r="I14" s="3">
        <v>4300</v>
      </c>
      <c r="J14" s="2" t="s">
        <v>220</v>
      </c>
      <c r="K14" s="2" t="s">
        <v>219</v>
      </c>
      <c r="L14" s="3">
        <v>2700</v>
      </c>
      <c r="M14" s="4">
        <v>3</v>
      </c>
      <c r="N14" s="3">
        <v>690000000000</v>
      </c>
      <c r="O14" s="3">
        <v>1600</v>
      </c>
      <c r="P14" s="3">
        <v>76666.666700000002</v>
      </c>
    </row>
    <row r="15" spans="1:16" x14ac:dyDescent="0.25">
      <c r="A15" s="2" t="s">
        <v>31</v>
      </c>
      <c r="B15" s="2" t="s">
        <v>4</v>
      </c>
      <c r="C15" s="2" t="s">
        <v>25</v>
      </c>
      <c r="D15" s="2" t="s">
        <v>214</v>
      </c>
      <c r="E15" s="2" t="s">
        <v>220</v>
      </c>
      <c r="F15" s="4">
        <v>10000000</v>
      </c>
      <c r="G15" s="3">
        <v>200</v>
      </c>
      <c r="H15" s="2" t="s">
        <v>221</v>
      </c>
      <c r="I15" s="3">
        <v>560</v>
      </c>
      <c r="J15" s="2" t="s">
        <v>221</v>
      </c>
      <c r="K15" s="2" t="s">
        <v>221</v>
      </c>
      <c r="L15" s="3">
        <v>420</v>
      </c>
      <c r="M15" s="4">
        <v>5</v>
      </c>
      <c r="N15" s="3">
        <v>85000000000</v>
      </c>
      <c r="O15" s="3">
        <v>140</v>
      </c>
      <c r="P15" s="3">
        <v>8500</v>
      </c>
    </row>
    <row r="16" spans="1:16" x14ac:dyDescent="0.25">
      <c r="A16" s="2" t="s">
        <v>32</v>
      </c>
      <c r="B16" s="2" t="s">
        <v>19</v>
      </c>
      <c r="C16" s="2" t="s">
        <v>20</v>
      </c>
      <c r="D16" s="2" t="s">
        <v>216</v>
      </c>
      <c r="E16" s="2" t="s">
        <v>222</v>
      </c>
      <c r="F16" s="4">
        <v>400000</v>
      </c>
      <c r="G16" s="3">
        <v>900</v>
      </c>
      <c r="H16" s="2" t="s">
        <v>220</v>
      </c>
      <c r="I16" s="3">
        <v>2900</v>
      </c>
      <c r="J16" s="2" t="s">
        <v>220</v>
      </c>
      <c r="K16" s="2" t="s">
        <v>219</v>
      </c>
      <c r="L16" s="3">
        <v>2500</v>
      </c>
      <c r="M16" s="4">
        <v>4</v>
      </c>
      <c r="N16" s="3">
        <v>14000000000</v>
      </c>
      <c r="O16" s="3">
        <v>400</v>
      </c>
      <c r="P16" s="3">
        <v>35000</v>
      </c>
    </row>
    <row r="17" spans="1:16" x14ac:dyDescent="0.25">
      <c r="A17" s="2" t="s">
        <v>33</v>
      </c>
      <c r="B17" s="2" t="s">
        <v>4</v>
      </c>
      <c r="C17" s="2" t="s">
        <v>25</v>
      </c>
      <c r="D17" s="2" t="s">
        <v>215</v>
      </c>
      <c r="E17" s="2" t="s">
        <v>221</v>
      </c>
      <c r="F17" s="4">
        <v>1700000</v>
      </c>
      <c r="G17" s="3">
        <v>1000</v>
      </c>
      <c r="H17" s="2" t="s">
        <v>220</v>
      </c>
      <c r="I17" s="3">
        <v>3200</v>
      </c>
      <c r="J17" s="2" t="s">
        <v>220</v>
      </c>
      <c r="K17" s="2" t="s">
        <v>220</v>
      </c>
      <c r="L17" s="3">
        <v>1800</v>
      </c>
      <c r="M17" s="4">
        <v>2</v>
      </c>
      <c r="N17" s="3">
        <v>60000000000</v>
      </c>
      <c r="O17" s="3">
        <v>1400</v>
      </c>
      <c r="P17" s="3">
        <v>35294.117599999998</v>
      </c>
    </row>
    <row r="18" spans="1:16" x14ac:dyDescent="0.25">
      <c r="A18" s="2" t="s">
        <v>34</v>
      </c>
      <c r="B18" s="2" t="s">
        <v>4</v>
      </c>
      <c r="C18" s="2" t="s">
        <v>5</v>
      </c>
      <c r="D18" s="2" t="s">
        <v>214</v>
      </c>
      <c r="E18" s="2" t="s">
        <v>220</v>
      </c>
      <c r="F18" s="4">
        <v>173000000</v>
      </c>
      <c r="G18" s="3">
        <v>75</v>
      </c>
      <c r="H18" s="2" t="s">
        <v>239</v>
      </c>
      <c r="I18" s="3">
        <v>260</v>
      </c>
      <c r="J18" s="2" t="s">
        <v>239</v>
      </c>
      <c r="K18" s="2" t="s">
        <v>239</v>
      </c>
      <c r="L18" s="3">
        <v>220</v>
      </c>
      <c r="M18" s="4">
        <v>8</v>
      </c>
      <c r="N18" s="3">
        <v>560000000000</v>
      </c>
      <c r="O18" s="3">
        <v>40</v>
      </c>
      <c r="P18" s="3">
        <v>3236.9942000000001</v>
      </c>
    </row>
    <row r="19" spans="1:16" x14ac:dyDescent="0.25">
      <c r="A19" s="2" t="s">
        <v>35</v>
      </c>
      <c r="B19" s="2" t="s">
        <v>19</v>
      </c>
      <c r="C19" s="2" t="s">
        <v>20</v>
      </c>
      <c r="D19" s="2" t="s">
        <v>216</v>
      </c>
      <c r="E19" s="2" t="s">
        <v>222</v>
      </c>
      <c r="F19" s="4">
        <v>280000</v>
      </c>
      <c r="G19" s="3">
        <v>700</v>
      </c>
      <c r="H19" s="2" t="s">
        <v>220</v>
      </c>
      <c r="I19" s="3">
        <v>2200</v>
      </c>
      <c r="J19" s="2" t="s">
        <v>220</v>
      </c>
      <c r="K19" s="2" t="s">
        <v>220</v>
      </c>
      <c r="L19" s="3">
        <v>2100</v>
      </c>
      <c r="M19" s="4">
        <v>4</v>
      </c>
      <c r="N19" s="3">
        <v>7000000000</v>
      </c>
      <c r="O19" s="3">
        <v>100</v>
      </c>
      <c r="P19" s="3">
        <v>25000</v>
      </c>
    </row>
    <row r="20" spans="1:16" x14ac:dyDescent="0.25">
      <c r="A20" s="2" t="s">
        <v>36</v>
      </c>
      <c r="B20" s="2" t="s">
        <v>7</v>
      </c>
      <c r="C20" s="2" t="s">
        <v>37</v>
      </c>
      <c r="D20" s="2" t="s">
        <v>214</v>
      </c>
      <c r="E20" s="2" t="s">
        <v>220</v>
      </c>
      <c r="F20" s="4">
        <v>9200000</v>
      </c>
      <c r="G20" s="3">
        <v>250</v>
      </c>
      <c r="H20" s="2" t="s">
        <v>221</v>
      </c>
      <c r="I20" s="3">
        <v>700</v>
      </c>
      <c r="J20" s="2" t="s">
        <v>221</v>
      </c>
      <c r="K20" s="2" t="s">
        <v>221</v>
      </c>
      <c r="L20" s="3">
        <v>450</v>
      </c>
      <c r="M20" s="4">
        <v>6</v>
      </c>
      <c r="N20" s="3">
        <v>85000000000</v>
      </c>
      <c r="O20" s="3">
        <v>250</v>
      </c>
      <c r="P20" s="3">
        <v>9239.1304</v>
      </c>
    </row>
    <row r="21" spans="1:16" x14ac:dyDescent="0.25">
      <c r="A21" s="2" t="s">
        <v>38</v>
      </c>
      <c r="B21" s="2" t="s">
        <v>7</v>
      </c>
      <c r="C21" s="2" t="s">
        <v>30</v>
      </c>
      <c r="D21" s="2" t="s">
        <v>215</v>
      </c>
      <c r="E21" s="2" t="s">
        <v>221</v>
      </c>
      <c r="F21" s="4">
        <v>11700000</v>
      </c>
      <c r="G21" s="3">
        <v>2000</v>
      </c>
      <c r="H21" s="2" t="s">
        <v>219</v>
      </c>
      <c r="I21" s="3">
        <v>3900</v>
      </c>
      <c r="J21" s="2" t="s">
        <v>219</v>
      </c>
      <c r="K21" s="2" t="s">
        <v>219</v>
      </c>
      <c r="L21" s="3">
        <v>2600</v>
      </c>
      <c r="M21" s="4">
        <v>3</v>
      </c>
      <c r="N21" s="3">
        <v>780000000000</v>
      </c>
      <c r="O21" s="3">
        <v>1300</v>
      </c>
      <c r="P21" s="3">
        <v>66666.666700000002</v>
      </c>
    </row>
    <row r="22" spans="1:16" x14ac:dyDescent="0.25">
      <c r="A22" s="2" t="s">
        <v>39</v>
      </c>
      <c r="B22" s="2" t="s">
        <v>19</v>
      </c>
      <c r="C22" s="2" t="s">
        <v>40</v>
      </c>
      <c r="D22" s="2" t="s">
        <v>214</v>
      </c>
      <c r="E22" s="2" t="s">
        <v>220</v>
      </c>
      <c r="F22" s="4">
        <v>430000</v>
      </c>
      <c r="G22" s="3">
        <v>350</v>
      </c>
      <c r="H22" s="2" t="s">
        <v>224</v>
      </c>
      <c r="I22" s="3">
        <v>1050</v>
      </c>
      <c r="J22" s="2" t="s">
        <v>224</v>
      </c>
      <c r="K22" s="2" t="s">
        <v>224</v>
      </c>
      <c r="L22" s="3">
        <v>700</v>
      </c>
      <c r="M22" s="4">
        <v>5</v>
      </c>
      <c r="N22" s="3">
        <v>3500000000</v>
      </c>
      <c r="O22" s="3">
        <v>350</v>
      </c>
      <c r="P22" s="3">
        <v>8139.5348999999997</v>
      </c>
    </row>
    <row r="23" spans="1:16" x14ac:dyDescent="0.25">
      <c r="A23" s="2" t="s">
        <v>41</v>
      </c>
      <c r="B23" s="2" t="s">
        <v>10</v>
      </c>
      <c r="C23" s="2" t="s">
        <v>42</v>
      </c>
      <c r="D23" s="2" t="s">
        <v>213</v>
      </c>
      <c r="E23" s="2" t="s">
        <v>219</v>
      </c>
      <c r="F23" s="4">
        <v>14000000</v>
      </c>
      <c r="G23" s="3">
        <v>80</v>
      </c>
      <c r="H23" s="2" t="s">
        <v>239</v>
      </c>
      <c r="I23" s="3">
        <v>250</v>
      </c>
      <c r="J23" s="2" t="s">
        <v>239</v>
      </c>
      <c r="K23" s="2" t="s">
        <v>239</v>
      </c>
      <c r="L23" s="3">
        <v>250</v>
      </c>
      <c r="M23" s="4">
        <v>3</v>
      </c>
      <c r="N23" s="3">
        <v>27000000000</v>
      </c>
      <c r="O23" s="3">
        <v>0</v>
      </c>
      <c r="P23" s="3">
        <v>1928.5714</v>
      </c>
    </row>
    <row r="24" spans="1:16" x14ac:dyDescent="0.25">
      <c r="A24" s="2" t="s">
        <v>43</v>
      </c>
      <c r="B24" s="2" t="s">
        <v>19</v>
      </c>
      <c r="C24" s="2" t="s">
        <v>20</v>
      </c>
      <c r="D24" s="2" t="s">
        <v>215</v>
      </c>
      <c r="E24" s="2" t="s">
        <v>221</v>
      </c>
      <c r="F24" s="4">
        <v>64000</v>
      </c>
      <c r="G24" s="3">
        <v>1800</v>
      </c>
      <c r="H24" s="2" t="s">
        <v>219</v>
      </c>
      <c r="I24" s="3">
        <v>5500</v>
      </c>
      <c r="J24" s="2" t="s">
        <v>219</v>
      </c>
      <c r="K24" s="2" t="s">
        <v>219</v>
      </c>
      <c r="L24" s="3">
        <v>3500</v>
      </c>
      <c r="M24" s="4">
        <v>3</v>
      </c>
      <c r="N24" s="3">
        <v>6000000000</v>
      </c>
      <c r="O24" s="3">
        <v>2000</v>
      </c>
      <c r="P24" s="3">
        <v>93750</v>
      </c>
    </row>
    <row r="25" spans="1:16" x14ac:dyDescent="0.25">
      <c r="A25" s="2" t="s">
        <v>44</v>
      </c>
      <c r="B25" s="2" t="s">
        <v>4</v>
      </c>
      <c r="C25" s="2" t="s">
        <v>5</v>
      </c>
      <c r="D25" s="2" t="s">
        <v>214</v>
      </c>
      <c r="E25" s="2" t="s">
        <v>220</v>
      </c>
      <c r="F25" s="4">
        <v>800000</v>
      </c>
      <c r="G25" s="3">
        <v>150</v>
      </c>
      <c r="H25" s="2" t="s">
        <v>221</v>
      </c>
      <c r="I25" s="3">
        <v>400</v>
      </c>
      <c r="J25" s="2" t="s">
        <v>239</v>
      </c>
      <c r="K25" s="2" t="s">
        <v>239</v>
      </c>
      <c r="L25" s="3">
        <v>280</v>
      </c>
      <c r="M25" s="4">
        <v>4</v>
      </c>
      <c r="N25" s="3">
        <v>3500000000</v>
      </c>
      <c r="O25" s="3">
        <v>120</v>
      </c>
      <c r="P25" s="3">
        <v>4375</v>
      </c>
    </row>
    <row r="26" spans="1:16" x14ac:dyDescent="0.25">
      <c r="A26" s="2" t="s">
        <v>45</v>
      </c>
      <c r="B26" s="2" t="s">
        <v>23</v>
      </c>
      <c r="C26" s="2" t="s">
        <v>23</v>
      </c>
      <c r="D26" s="2" t="s">
        <v>214</v>
      </c>
      <c r="E26" s="2" t="s">
        <v>220</v>
      </c>
      <c r="F26" s="4">
        <v>12500000</v>
      </c>
      <c r="G26" s="3">
        <v>350</v>
      </c>
      <c r="H26" s="2" t="s">
        <v>224</v>
      </c>
      <c r="I26" s="3">
        <v>720</v>
      </c>
      <c r="J26" s="2" t="s">
        <v>221</v>
      </c>
      <c r="K26" s="2" t="s">
        <v>239</v>
      </c>
      <c r="L26" s="3">
        <v>350</v>
      </c>
      <c r="M26" s="4">
        <v>4</v>
      </c>
      <c r="N26" s="3">
        <v>75000000000</v>
      </c>
      <c r="O26" s="3">
        <v>370</v>
      </c>
      <c r="P26" s="3">
        <v>6000</v>
      </c>
    </row>
    <row r="27" spans="1:16" x14ac:dyDescent="0.25">
      <c r="A27" s="2" t="s">
        <v>46</v>
      </c>
      <c r="B27" s="2" t="s">
        <v>7</v>
      </c>
      <c r="C27" s="2" t="s">
        <v>8</v>
      </c>
      <c r="D27" s="2" t="s">
        <v>214</v>
      </c>
      <c r="E27" s="2" t="s">
        <v>220</v>
      </c>
      <c r="F27" s="4">
        <v>3200000</v>
      </c>
      <c r="G27" s="3">
        <v>400</v>
      </c>
      <c r="H27" s="2" t="s">
        <v>224</v>
      </c>
      <c r="I27" s="3">
        <v>900</v>
      </c>
      <c r="J27" s="2" t="s">
        <v>221</v>
      </c>
      <c r="K27" s="2" t="s">
        <v>221</v>
      </c>
      <c r="L27" s="3">
        <v>600</v>
      </c>
      <c r="M27" s="4">
        <v>4</v>
      </c>
      <c r="N27" s="3">
        <v>50000000000</v>
      </c>
      <c r="O27" s="3">
        <v>300</v>
      </c>
      <c r="P27" s="3">
        <v>15625</v>
      </c>
    </row>
    <row r="28" spans="1:16" x14ac:dyDescent="0.25">
      <c r="A28" s="2" t="s">
        <v>47</v>
      </c>
      <c r="B28" s="2" t="s">
        <v>10</v>
      </c>
      <c r="C28" s="2" t="s">
        <v>48</v>
      </c>
      <c r="D28" s="2" t="s">
        <v>214</v>
      </c>
      <c r="E28" s="2" t="s">
        <v>220</v>
      </c>
      <c r="F28" s="4">
        <v>2700000</v>
      </c>
      <c r="G28" s="3">
        <v>300</v>
      </c>
      <c r="H28" s="2" t="s">
        <v>224</v>
      </c>
      <c r="I28" s="3">
        <v>950</v>
      </c>
      <c r="J28" s="2" t="s">
        <v>221</v>
      </c>
      <c r="K28" s="2" t="s">
        <v>221</v>
      </c>
      <c r="L28" s="3">
        <v>550</v>
      </c>
      <c r="M28" s="4">
        <v>5</v>
      </c>
      <c r="N28" s="3">
        <v>20000000000</v>
      </c>
      <c r="O28" s="3">
        <v>400</v>
      </c>
      <c r="P28" s="3">
        <v>7407.4074000000001</v>
      </c>
    </row>
    <row r="29" spans="1:16" x14ac:dyDescent="0.25">
      <c r="A29" s="2" t="s">
        <v>49</v>
      </c>
      <c r="B29" s="2" t="s">
        <v>23</v>
      </c>
      <c r="C29" s="2" t="s">
        <v>23</v>
      </c>
      <c r="D29" s="2" t="s">
        <v>216</v>
      </c>
      <c r="E29" s="2" t="s">
        <v>222</v>
      </c>
      <c r="F29" s="4">
        <v>216000000</v>
      </c>
      <c r="G29" s="3">
        <v>280</v>
      </c>
      <c r="H29" s="2" t="s">
        <v>224</v>
      </c>
      <c r="I29" s="3">
        <v>720</v>
      </c>
      <c r="J29" s="2" t="s">
        <v>221</v>
      </c>
      <c r="K29" s="2" t="s">
        <v>224</v>
      </c>
      <c r="L29" s="3">
        <v>800</v>
      </c>
      <c r="M29" s="4">
        <v>4</v>
      </c>
      <c r="N29" s="3">
        <v>2400000000000</v>
      </c>
      <c r="O29" s="3">
        <v>-80</v>
      </c>
      <c r="P29" s="3">
        <v>11111.1111</v>
      </c>
    </row>
    <row r="30" spans="1:16" x14ac:dyDescent="0.25">
      <c r="A30" s="2" t="s">
        <v>50</v>
      </c>
      <c r="B30" s="2" t="s">
        <v>4</v>
      </c>
      <c r="C30" s="2" t="s">
        <v>51</v>
      </c>
      <c r="D30" s="2" t="s">
        <v>215</v>
      </c>
      <c r="E30" s="2" t="s">
        <v>221</v>
      </c>
      <c r="F30" s="4">
        <v>450000</v>
      </c>
      <c r="G30" s="3">
        <v>900</v>
      </c>
      <c r="H30" s="2" t="s">
        <v>220</v>
      </c>
      <c r="I30" s="3">
        <v>3200</v>
      </c>
      <c r="J30" s="2" t="s">
        <v>220</v>
      </c>
      <c r="K30" s="2" t="s">
        <v>224</v>
      </c>
      <c r="L30" s="3">
        <v>1600</v>
      </c>
      <c r="M30" s="4">
        <v>1</v>
      </c>
      <c r="N30" s="3">
        <v>16000000000</v>
      </c>
      <c r="O30" s="3">
        <v>1600</v>
      </c>
      <c r="P30" s="3">
        <v>35555.5556</v>
      </c>
    </row>
    <row r="31" spans="1:16" x14ac:dyDescent="0.25">
      <c r="A31" s="2" t="s">
        <v>52</v>
      </c>
      <c r="B31" s="2" t="s">
        <v>7</v>
      </c>
      <c r="C31" s="2" t="s">
        <v>37</v>
      </c>
      <c r="D31" s="2" t="s">
        <v>217</v>
      </c>
      <c r="E31" s="2" t="s">
        <v>222</v>
      </c>
      <c r="F31" s="4">
        <v>6400000</v>
      </c>
      <c r="G31" s="3">
        <v>600</v>
      </c>
      <c r="H31" s="2" t="s">
        <v>220</v>
      </c>
      <c r="I31" s="3">
        <v>1350</v>
      </c>
      <c r="J31" s="2" t="s">
        <v>221</v>
      </c>
      <c r="K31" s="2" t="s">
        <v>221</v>
      </c>
      <c r="L31" s="3">
        <v>650</v>
      </c>
      <c r="M31" s="4">
        <v>4</v>
      </c>
      <c r="N31" s="3">
        <v>135000000000</v>
      </c>
      <c r="O31" s="3">
        <v>700</v>
      </c>
      <c r="P31" s="3">
        <v>21093.75</v>
      </c>
    </row>
    <row r="32" spans="1:16" x14ac:dyDescent="0.25">
      <c r="A32" s="2" t="s">
        <v>53</v>
      </c>
      <c r="B32" s="2" t="s">
        <v>10</v>
      </c>
      <c r="C32" s="2" t="s">
        <v>42</v>
      </c>
      <c r="D32" s="2" t="s">
        <v>213</v>
      </c>
      <c r="E32" s="2" t="s">
        <v>219</v>
      </c>
      <c r="F32" s="4">
        <v>23000000</v>
      </c>
      <c r="G32" s="3">
        <v>70</v>
      </c>
      <c r="H32" s="2" t="s">
        <v>239</v>
      </c>
      <c r="I32" s="3">
        <v>210</v>
      </c>
      <c r="J32" s="2" t="s">
        <v>239</v>
      </c>
      <c r="K32" s="2" t="s">
        <v>239</v>
      </c>
      <c r="L32" s="3">
        <v>220</v>
      </c>
      <c r="M32" s="4">
        <v>3</v>
      </c>
      <c r="N32" s="3">
        <v>23000000000</v>
      </c>
      <c r="O32" s="3">
        <v>-10</v>
      </c>
      <c r="P32" s="3">
        <v>1000</v>
      </c>
    </row>
    <row r="33" spans="1:16" x14ac:dyDescent="0.25">
      <c r="A33" s="2" t="s">
        <v>54</v>
      </c>
      <c r="B33" s="2" t="s">
        <v>4</v>
      </c>
      <c r="C33" s="2" t="s">
        <v>51</v>
      </c>
      <c r="D33" s="2" t="s">
        <v>213</v>
      </c>
      <c r="E33" s="2" t="s">
        <v>219</v>
      </c>
      <c r="F33" s="4">
        <v>55000000</v>
      </c>
      <c r="G33" s="3">
        <v>60</v>
      </c>
      <c r="H33" s="2" t="s">
        <v>239</v>
      </c>
      <c r="I33" s="3">
        <v>170</v>
      </c>
      <c r="J33" s="2" t="s">
        <v>239</v>
      </c>
      <c r="K33" s="2" t="s">
        <v>239</v>
      </c>
      <c r="L33" s="3">
        <v>200</v>
      </c>
      <c r="M33" s="4">
        <v>20</v>
      </c>
      <c r="N33" s="3">
        <v>70000000000</v>
      </c>
      <c r="O33" s="3">
        <v>-30</v>
      </c>
      <c r="P33" s="3">
        <v>1272.7273</v>
      </c>
    </row>
    <row r="34" spans="1:16" x14ac:dyDescent="0.25">
      <c r="A34" s="2" t="s">
        <v>55</v>
      </c>
      <c r="B34" s="2" t="s">
        <v>10</v>
      </c>
      <c r="C34" s="2" t="s">
        <v>56</v>
      </c>
      <c r="D34" s="2" t="s">
        <v>213</v>
      </c>
      <c r="E34" s="2" t="s">
        <v>219</v>
      </c>
      <c r="F34" s="4">
        <v>13000000</v>
      </c>
      <c r="G34" s="3">
        <v>30</v>
      </c>
      <c r="H34" s="2" t="s">
        <v>239</v>
      </c>
      <c r="I34" s="3">
        <v>90</v>
      </c>
      <c r="J34" s="2" t="s">
        <v>239</v>
      </c>
      <c r="K34" s="2" t="s">
        <v>239</v>
      </c>
      <c r="L34" s="3">
        <v>180</v>
      </c>
      <c r="M34" s="4">
        <v>8</v>
      </c>
      <c r="N34" s="3">
        <v>12000000000</v>
      </c>
      <c r="O34" s="3">
        <v>-90</v>
      </c>
      <c r="P34" s="3">
        <v>923.07690000000002</v>
      </c>
    </row>
    <row r="35" spans="1:16" x14ac:dyDescent="0.25">
      <c r="A35" s="2" t="s">
        <v>57</v>
      </c>
      <c r="B35" s="2" t="s">
        <v>4</v>
      </c>
      <c r="C35" s="2" t="s">
        <v>51</v>
      </c>
      <c r="D35" s="2" t="s">
        <v>214</v>
      </c>
      <c r="E35" s="2" t="s">
        <v>220</v>
      </c>
      <c r="F35" s="4">
        <v>17000000</v>
      </c>
      <c r="G35" s="3">
        <v>200</v>
      </c>
      <c r="H35" s="2" t="s">
        <v>221</v>
      </c>
      <c r="I35" s="3">
        <v>360</v>
      </c>
      <c r="J35" s="2" t="s">
        <v>239</v>
      </c>
      <c r="K35" s="2" t="s">
        <v>221</v>
      </c>
      <c r="L35" s="3">
        <v>380</v>
      </c>
      <c r="M35" s="4">
        <v>4</v>
      </c>
      <c r="N35" s="3">
        <v>60000000000</v>
      </c>
      <c r="O35" s="3">
        <v>-20</v>
      </c>
      <c r="P35" s="3">
        <v>3529.4117999999999</v>
      </c>
    </row>
    <row r="36" spans="1:16" x14ac:dyDescent="0.25">
      <c r="A36" s="2" t="s">
        <v>58</v>
      </c>
      <c r="B36" s="2" t="s">
        <v>10</v>
      </c>
      <c r="C36" s="2" t="s">
        <v>17</v>
      </c>
      <c r="D36" s="2" t="s">
        <v>213</v>
      </c>
      <c r="E36" s="2" t="s">
        <v>219</v>
      </c>
      <c r="F36" s="4">
        <v>29000000</v>
      </c>
      <c r="G36" s="3">
        <v>75</v>
      </c>
      <c r="H36" s="2" t="s">
        <v>239</v>
      </c>
      <c r="I36" s="3">
        <v>240</v>
      </c>
      <c r="J36" s="2" t="s">
        <v>239</v>
      </c>
      <c r="K36" s="2" t="s">
        <v>221</v>
      </c>
      <c r="L36" s="3">
        <v>350</v>
      </c>
      <c r="M36" s="4">
        <v>5</v>
      </c>
      <c r="N36" s="3">
        <v>70000000000</v>
      </c>
      <c r="O36" s="3">
        <v>-110</v>
      </c>
      <c r="P36" s="3">
        <v>2413.7930999999999</v>
      </c>
    </row>
    <row r="37" spans="1:16" x14ac:dyDescent="0.25">
      <c r="A37" s="2" t="s">
        <v>59</v>
      </c>
      <c r="B37" s="2" t="s">
        <v>19</v>
      </c>
      <c r="C37" s="2" t="s">
        <v>60</v>
      </c>
      <c r="D37" s="2" t="s">
        <v>215</v>
      </c>
      <c r="E37" s="2" t="s">
        <v>221</v>
      </c>
      <c r="F37" s="4">
        <v>41000000</v>
      </c>
      <c r="G37" s="3">
        <v>2200</v>
      </c>
      <c r="H37" s="2" t="s">
        <v>219</v>
      </c>
      <c r="I37" s="3">
        <v>4500</v>
      </c>
      <c r="J37" s="2" t="s">
        <v>219</v>
      </c>
      <c r="K37" s="2" t="s">
        <v>219</v>
      </c>
      <c r="L37" s="3">
        <v>3000</v>
      </c>
      <c r="M37" s="4">
        <v>3</v>
      </c>
      <c r="N37" s="3">
        <v>2300000000000</v>
      </c>
      <c r="O37" s="3">
        <v>1500</v>
      </c>
      <c r="P37" s="3">
        <v>56097.561000000002</v>
      </c>
    </row>
    <row r="38" spans="1:16" x14ac:dyDescent="0.25">
      <c r="A38" s="2" t="s">
        <v>61</v>
      </c>
      <c r="B38" s="2" t="s">
        <v>10</v>
      </c>
      <c r="C38" s="2" t="s">
        <v>42</v>
      </c>
      <c r="D38" s="2" t="s">
        <v>214</v>
      </c>
      <c r="E38" s="2" t="s">
        <v>220</v>
      </c>
      <c r="F38" s="4">
        <v>600000</v>
      </c>
      <c r="G38" s="3">
        <v>250</v>
      </c>
      <c r="H38" s="2" t="s">
        <v>221</v>
      </c>
      <c r="I38" s="3">
        <v>720</v>
      </c>
      <c r="J38" s="2" t="s">
        <v>221</v>
      </c>
      <c r="K38" s="2" t="s">
        <v>221</v>
      </c>
      <c r="L38" s="3">
        <v>550</v>
      </c>
      <c r="M38" s="4">
        <v>3</v>
      </c>
      <c r="N38" s="3">
        <v>7000000000</v>
      </c>
      <c r="O38" s="3">
        <v>170</v>
      </c>
      <c r="P38" s="3">
        <v>11666.6667</v>
      </c>
    </row>
    <row r="39" spans="1:16" x14ac:dyDescent="0.25">
      <c r="A39" s="2" t="s">
        <v>62</v>
      </c>
      <c r="B39" s="2" t="s">
        <v>19</v>
      </c>
      <c r="C39" s="2" t="s">
        <v>20</v>
      </c>
      <c r="D39" s="2" t="s">
        <v>215</v>
      </c>
      <c r="E39" s="2" t="s">
        <v>221</v>
      </c>
      <c r="F39" s="4">
        <v>85000</v>
      </c>
      <c r="G39" s="3">
        <v>1600</v>
      </c>
      <c r="H39" s="2" t="s">
        <v>219</v>
      </c>
      <c r="I39" s="3">
        <v>4500</v>
      </c>
      <c r="J39" s="2" t="s">
        <v>219</v>
      </c>
      <c r="K39" s="2" t="s">
        <v>219</v>
      </c>
      <c r="L39" s="3">
        <v>3200</v>
      </c>
      <c r="M39" s="4">
        <v>3</v>
      </c>
      <c r="N39" s="3">
        <v>6000000000</v>
      </c>
      <c r="O39" s="3">
        <v>1300</v>
      </c>
      <c r="P39" s="3">
        <v>70588.2353</v>
      </c>
    </row>
    <row r="40" spans="1:16" x14ac:dyDescent="0.25">
      <c r="A40" s="2" t="s">
        <v>63</v>
      </c>
      <c r="B40" s="2" t="s">
        <v>10</v>
      </c>
      <c r="C40" s="2" t="s">
        <v>17</v>
      </c>
      <c r="D40" s="2" t="s">
        <v>213</v>
      </c>
      <c r="E40" s="2" t="s">
        <v>219</v>
      </c>
      <c r="F40" s="4">
        <v>5000000</v>
      </c>
      <c r="G40" s="3">
        <v>40</v>
      </c>
      <c r="H40" s="2" t="s">
        <v>239</v>
      </c>
      <c r="I40" s="3">
        <v>110</v>
      </c>
      <c r="J40" s="2" t="s">
        <v>239</v>
      </c>
      <c r="K40" s="2" t="s">
        <v>239</v>
      </c>
      <c r="L40" s="3">
        <v>200</v>
      </c>
      <c r="M40" s="4">
        <v>4</v>
      </c>
      <c r="N40" s="3">
        <v>4500000000</v>
      </c>
      <c r="O40" s="3">
        <v>-90</v>
      </c>
      <c r="P40" s="3">
        <v>900</v>
      </c>
    </row>
    <row r="41" spans="1:16" x14ac:dyDescent="0.25">
      <c r="A41" s="2" t="s">
        <v>64</v>
      </c>
      <c r="B41" s="2" t="s">
        <v>10</v>
      </c>
      <c r="C41" s="2" t="s">
        <v>17</v>
      </c>
      <c r="D41" s="2" t="s">
        <v>213</v>
      </c>
      <c r="E41" s="2" t="s">
        <v>219</v>
      </c>
      <c r="F41" s="4">
        <v>18000000</v>
      </c>
      <c r="G41" s="3">
        <v>50</v>
      </c>
      <c r="H41" s="2" t="s">
        <v>239</v>
      </c>
      <c r="I41" s="3">
        <v>130</v>
      </c>
      <c r="J41" s="2" t="s">
        <v>239</v>
      </c>
      <c r="K41" s="2" t="s">
        <v>239</v>
      </c>
      <c r="L41" s="3">
        <v>220</v>
      </c>
      <c r="M41" s="4">
        <v>4</v>
      </c>
      <c r="N41" s="3">
        <v>18000000000</v>
      </c>
      <c r="O41" s="3">
        <v>-90</v>
      </c>
      <c r="P41" s="3">
        <v>1000</v>
      </c>
    </row>
    <row r="42" spans="1:16" x14ac:dyDescent="0.25">
      <c r="A42" s="2" t="s">
        <v>65</v>
      </c>
      <c r="B42" s="2" t="s">
        <v>23</v>
      </c>
      <c r="C42" s="2" t="s">
        <v>23</v>
      </c>
      <c r="D42" s="2" t="s">
        <v>215</v>
      </c>
      <c r="E42" s="2" t="s">
        <v>221</v>
      </c>
      <c r="F42" s="4">
        <v>20000000</v>
      </c>
      <c r="G42" s="3">
        <v>550</v>
      </c>
      <c r="H42" s="2" t="s">
        <v>224</v>
      </c>
      <c r="I42" s="3">
        <v>1450</v>
      </c>
      <c r="J42" s="2" t="s">
        <v>224</v>
      </c>
      <c r="K42" s="2" t="s">
        <v>224</v>
      </c>
      <c r="L42" s="3">
        <v>950</v>
      </c>
      <c r="M42" s="4">
        <v>4</v>
      </c>
      <c r="N42" s="3">
        <v>360000000000</v>
      </c>
      <c r="O42" s="3">
        <v>500</v>
      </c>
      <c r="P42" s="3">
        <v>18000</v>
      </c>
    </row>
    <row r="43" spans="1:16" x14ac:dyDescent="0.25">
      <c r="A43" s="2" t="s">
        <v>66</v>
      </c>
      <c r="B43" s="2" t="s">
        <v>4</v>
      </c>
      <c r="C43" s="2" t="s">
        <v>67</v>
      </c>
      <c r="D43" s="2" t="s">
        <v>217</v>
      </c>
      <c r="E43" s="2" t="s">
        <v>222</v>
      </c>
      <c r="F43" s="4">
        <v>1410000000</v>
      </c>
      <c r="G43" s="3">
        <v>350</v>
      </c>
      <c r="H43" s="2" t="s">
        <v>224</v>
      </c>
      <c r="I43" s="3">
        <v>960</v>
      </c>
      <c r="J43" s="2" t="s">
        <v>221</v>
      </c>
      <c r="K43" s="2" t="s">
        <v>224</v>
      </c>
      <c r="L43" s="3">
        <v>900</v>
      </c>
      <c r="M43" s="4">
        <v>1</v>
      </c>
      <c r="N43" s="3">
        <v>18500000000000</v>
      </c>
      <c r="O43" s="3">
        <v>60</v>
      </c>
      <c r="P43" s="3">
        <v>13120.5674</v>
      </c>
    </row>
    <row r="44" spans="1:16" x14ac:dyDescent="0.25">
      <c r="A44" s="2" t="s">
        <v>68</v>
      </c>
      <c r="B44" s="2" t="s">
        <v>23</v>
      </c>
      <c r="C44" s="2" t="s">
        <v>23</v>
      </c>
      <c r="D44" s="2" t="s">
        <v>216</v>
      </c>
      <c r="E44" s="2" t="s">
        <v>222</v>
      </c>
      <c r="F44" s="4">
        <v>52000000</v>
      </c>
      <c r="G44" s="3">
        <v>350</v>
      </c>
      <c r="H44" s="2" t="s">
        <v>224</v>
      </c>
      <c r="I44" s="3">
        <v>880</v>
      </c>
      <c r="J44" s="2" t="s">
        <v>221</v>
      </c>
      <c r="K44" s="2" t="s">
        <v>224</v>
      </c>
      <c r="L44" s="3">
        <v>700</v>
      </c>
      <c r="M44" s="4">
        <v>6</v>
      </c>
      <c r="N44" s="3">
        <v>450000000000</v>
      </c>
      <c r="O44" s="3">
        <v>180</v>
      </c>
      <c r="P44" s="3">
        <v>8653.8462</v>
      </c>
    </row>
    <row r="45" spans="1:16" x14ac:dyDescent="0.25">
      <c r="A45" s="2" t="s">
        <v>69</v>
      </c>
      <c r="B45" s="2" t="s">
        <v>10</v>
      </c>
      <c r="C45" s="2" t="s">
        <v>56</v>
      </c>
      <c r="D45" s="2" t="s">
        <v>213</v>
      </c>
      <c r="E45" s="2" t="s">
        <v>219</v>
      </c>
      <c r="F45" s="4">
        <v>900000</v>
      </c>
      <c r="G45" s="3">
        <v>60</v>
      </c>
      <c r="H45" s="2" t="s">
        <v>239</v>
      </c>
      <c r="I45" s="3">
        <v>160</v>
      </c>
      <c r="J45" s="2" t="s">
        <v>239</v>
      </c>
      <c r="K45" s="2" t="s">
        <v>239</v>
      </c>
      <c r="L45" s="3">
        <v>220</v>
      </c>
      <c r="M45" s="4">
        <v>3</v>
      </c>
      <c r="N45" s="3">
        <v>3000000000</v>
      </c>
      <c r="O45" s="3">
        <v>-60</v>
      </c>
      <c r="P45" s="3">
        <v>3333.3332999999998</v>
      </c>
    </row>
    <row r="46" spans="1:16" x14ac:dyDescent="0.25">
      <c r="A46" s="2" t="s">
        <v>70</v>
      </c>
      <c r="B46" s="2" t="s">
        <v>10</v>
      </c>
      <c r="C46" s="2" t="s">
        <v>17</v>
      </c>
      <c r="D46" s="2" t="s">
        <v>213</v>
      </c>
      <c r="E46" s="2" t="s">
        <v>219</v>
      </c>
      <c r="F46" s="4">
        <v>102000000</v>
      </c>
      <c r="G46" s="3">
        <v>60</v>
      </c>
      <c r="H46" s="2" t="s">
        <v>239</v>
      </c>
      <c r="I46" s="3">
        <v>140</v>
      </c>
      <c r="J46" s="2" t="s">
        <v>239</v>
      </c>
      <c r="K46" s="2" t="s">
        <v>239</v>
      </c>
      <c r="L46" s="3">
        <v>200</v>
      </c>
      <c r="M46" s="4">
        <v>8</v>
      </c>
      <c r="N46" s="3">
        <v>85000000000</v>
      </c>
      <c r="O46" s="3">
        <v>-60</v>
      </c>
      <c r="P46" s="3">
        <v>833.33330000000001</v>
      </c>
    </row>
    <row r="47" spans="1:16" x14ac:dyDescent="0.25">
      <c r="A47" s="2" t="s">
        <v>71</v>
      </c>
      <c r="B47" s="2" t="s">
        <v>10</v>
      </c>
      <c r="C47" s="2" t="s">
        <v>17</v>
      </c>
      <c r="D47" s="2" t="s">
        <v>213</v>
      </c>
      <c r="E47" s="2" t="s">
        <v>219</v>
      </c>
      <c r="F47" s="4">
        <v>6000000</v>
      </c>
      <c r="G47" s="3">
        <v>120</v>
      </c>
      <c r="H47" s="2" t="s">
        <v>221</v>
      </c>
      <c r="I47" s="3">
        <v>400</v>
      </c>
      <c r="J47" s="2" t="s">
        <v>239</v>
      </c>
      <c r="K47" s="2" t="s">
        <v>221</v>
      </c>
      <c r="L47" s="3">
        <v>450</v>
      </c>
      <c r="M47" s="4">
        <v>4</v>
      </c>
      <c r="N47" s="3">
        <v>22000000000</v>
      </c>
      <c r="O47" s="3">
        <v>-50</v>
      </c>
      <c r="P47" s="3">
        <v>3666.6667000000002</v>
      </c>
    </row>
    <row r="48" spans="1:16" x14ac:dyDescent="0.25">
      <c r="A48" s="2" t="s">
        <v>72</v>
      </c>
      <c r="B48" s="2" t="s">
        <v>13</v>
      </c>
      <c r="C48" s="2" t="s">
        <v>14</v>
      </c>
      <c r="D48" s="2" t="s">
        <v>214</v>
      </c>
      <c r="E48" s="2" t="s">
        <v>220</v>
      </c>
      <c r="F48" s="4">
        <v>17000</v>
      </c>
      <c r="G48" s="3">
        <v>300</v>
      </c>
      <c r="H48" s="2" t="s">
        <v>221</v>
      </c>
      <c r="I48" s="3">
        <v>900</v>
      </c>
      <c r="J48" s="2" t="s">
        <v>239</v>
      </c>
      <c r="K48" s="2" t="s">
        <v>224</v>
      </c>
      <c r="L48" s="3">
        <v>800</v>
      </c>
      <c r="M48" s="4">
        <v>3</v>
      </c>
      <c r="N48" s="3">
        <v>600000000</v>
      </c>
      <c r="O48" s="3">
        <v>100</v>
      </c>
      <c r="P48" s="3">
        <v>35294.117599999998</v>
      </c>
    </row>
    <row r="49" spans="1:16" x14ac:dyDescent="0.25">
      <c r="A49" s="2" t="s">
        <v>73</v>
      </c>
      <c r="B49" s="2" t="s">
        <v>19</v>
      </c>
      <c r="C49" s="2" t="s">
        <v>40</v>
      </c>
      <c r="D49" s="2" t="s">
        <v>216</v>
      </c>
      <c r="E49" s="2" t="s">
        <v>222</v>
      </c>
      <c r="F49" s="4">
        <v>5300000</v>
      </c>
      <c r="G49" s="3">
        <v>700</v>
      </c>
      <c r="H49" s="2" t="s">
        <v>220</v>
      </c>
      <c r="I49" s="3">
        <v>1600</v>
      </c>
      <c r="J49" s="2" t="s">
        <v>224</v>
      </c>
      <c r="K49" s="2" t="s">
        <v>220</v>
      </c>
      <c r="L49" s="3">
        <v>1200</v>
      </c>
      <c r="M49" s="4">
        <v>4</v>
      </c>
      <c r="N49" s="3">
        <v>100000000000</v>
      </c>
      <c r="O49" s="3">
        <v>400</v>
      </c>
      <c r="P49" s="3">
        <v>18867.924500000001</v>
      </c>
    </row>
    <row r="50" spans="1:16" x14ac:dyDescent="0.25">
      <c r="A50" s="2" t="s">
        <v>245</v>
      </c>
      <c r="B50" s="2" t="s">
        <v>10</v>
      </c>
      <c r="C50" s="2" t="s">
        <v>42</v>
      </c>
      <c r="D50" s="2" t="s">
        <v>214</v>
      </c>
      <c r="E50" s="2" t="s">
        <v>220</v>
      </c>
      <c r="F50" s="4">
        <v>30000000</v>
      </c>
      <c r="G50" s="3">
        <v>90</v>
      </c>
      <c r="H50" s="2" t="s">
        <v>239</v>
      </c>
      <c r="I50" s="3">
        <v>280</v>
      </c>
      <c r="J50" s="2" t="s">
        <v>239</v>
      </c>
      <c r="K50" s="2" t="s">
        <v>221</v>
      </c>
      <c r="L50" s="3">
        <v>420</v>
      </c>
      <c r="M50" s="4">
        <v>3</v>
      </c>
      <c r="N50" s="3">
        <v>95000000000</v>
      </c>
      <c r="O50" s="3">
        <v>-140</v>
      </c>
      <c r="P50" s="3">
        <v>3166.6667000000002</v>
      </c>
    </row>
    <row r="51" spans="1:16" x14ac:dyDescent="0.25">
      <c r="A51" s="2" t="s">
        <v>75</v>
      </c>
      <c r="B51" s="2" t="s">
        <v>7</v>
      </c>
      <c r="C51" s="2" t="s">
        <v>8</v>
      </c>
      <c r="D51" s="2" t="s">
        <v>215</v>
      </c>
      <c r="E51" s="2" t="s">
        <v>221</v>
      </c>
      <c r="F51" s="4">
        <v>3800000</v>
      </c>
      <c r="G51" s="3">
        <v>900</v>
      </c>
      <c r="H51" s="2" t="s">
        <v>220</v>
      </c>
      <c r="I51" s="3">
        <v>1800</v>
      </c>
      <c r="J51" s="2" t="s">
        <v>224</v>
      </c>
      <c r="K51" s="2" t="s">
        <v>220</v>
      </c>
      <c r="L51" s="3">
        <v>1400</v>
      </c>
      <c r="M51" s="4">
        <v>4</v>
      </c>
      <c r="N51" s="3">
        <v>95000000000</v>
      </c>
      <c r="O51" s="3">
        <v>400</v>
      </c>
      <c r="P51" s="3">
        <v>25000</v>
      </c>
    </row>
    <row r="52" spans="1:16" x14ac:dyDescent="0.25">
      <c r="A52" s="2" t="s">
        <v>76</v>
      </c>
      <c r="B52" s="2" t="s">
        <v>19</v>
      </c>
      <c r="C52" s="2" t="s">
        <v>20</v>
      </c>
      <c r="D52" s="2" t="s">
        <v>214</v>
      </c>
      <c r="E52" s="2" t="s">
        <v>220</v>
      </c>
      <c r="F52" s="4">
        <v>11000000</v>
      </c>
      <c r="G52" s="3">
        <v>50</v>
      </c>
      <c r="H52" s="2" t="s">
        <v>239</v>
      </c>
      <c r="I52" s="3">
        <v>90</v>
      </c>
      <c r="J52" s="2" t="s">
        <v>239</v>
      </c>
      <c r="K52" s="2" t="s">
        <v>221</v>
      </c>
      <c r="L52" s="3">
        <v>300</v>
      </c>
      <c r="M52" s="4">
        <v>4</v>
      </c>
      <c r="N52" s="3">
        <v>110000000000</v>
      </c>
      <c r="O52" s="3">
        <v>-210</v>
      </c>
      <c r="P52" s="3">
        <v>10000</v>
      </c>
    </row>
    <row r="53" spans="1:16" x14ac:dyDescent="0.25">
      <c r="A53" s="2" t="s">
        <v>77</v>
      </c>
      <c r="B53" s="2" t="s">
        <v>7</v>
      </c>
      <c r="C53" s="2" t="s">
        <v>8</v>
      </c>
      <c r="D53" s="2" t="s">
        <v>215</v>
      </c>
      <c r="E53" s="2" t="s">
        <v>221</v>
      </c>
      <c r="F53" s="4">
        <v>1300000</v>
      </c>
      <c r="G53" s="3">
        <v>1000</v>
      </c>
      <c r="H53" s="2" t="s">
        <v>220</v>
      </c>
      <c r="I53" s="3">
        <v>2600</v>
      </c>
      <c r="J53" s="2" t="s">
        <v>220</v>
      </c>
      <c r="K53" s="2" t="s">
        <v>220</v>
      </c>
      <c r="L53" s="3">
        <v>1800</v>
      </c>
      <c r="M53" s="4">
        <v>3</v>
      </c>
      <c r="N53" s="3">
        <v>50000000000</v>
      </c>
      <c r="O53" s="3">
        <v>800</v>
      </c>
      <c r="P53" s="3">
        <v>38461.538500000002</v>
      </c>
    </row>
    <row r="54" spans="1:16" x14ac:dyDescent="0.25">
      <c r="A54" s="2" t="s">
        <v>78</v>
      </c>
      <c r="B54" s="2" t="s">
        <v>7</v>
      </c>
      <c r="C54" s="2" t="s">
        <v>37</v>
      </c>
      <c r="D54" s="2" t="s">
        <v>215</v>
      </c>
      <c r="E54" s="2" t="s">
        <v>221</v>
      </c>
      <c r="F54" s="4">
        <v>10700000</v>
      </c>
      <c r="G54" s="3">
        <v>900</v>
      </c>
      <c r="H54" s="2" t="s">
        <v>220</v>
      </c>
      <c r="I54" s="3">
        <v>2100</v>
      </c>
      <c r="J54" s="2" t="s">
        <v>224</v>
      </c>
      <c r="K54" s="2" t="s">
        <v>224</v>
      </c>
      <c r="L54" s="3">
        <v>1600</v>
      </c>
      <c r="M54" s="4">
        <v>3</v>
      </c>
      <c r="N54" s="3">
        <v>370000000000</v>
      </c>
      <c r="O54" s="3">
        <v>500</v>
      </c>
      <c r="P54" s="3">
        <v>34579.439299999998</v>
      </c>
    </row>
    <row r="55" spans="1:16" x14ac:dyDescent="0.25">
      <c r="A55" s="2" t="s">
        <v>79</v>
      </c>
      <c r="B55" s="2" t="s">
        <v>7</v>
      </c>
      <c r="C55" s="2" t="s">
        <v>80</v>
      </c>
      <c r="D55" s="2" t="s">
        <v>215</v>
      </c>
      <c r="E55" s="2" t="s">
        <v>221</v>
      </c>
      <c r="F55" s="4">
        <v>6000000</v>
      </c>
      <c r="G55" s="3">
        <v>0</v>
      </c>
      <c r="H55" s="2" t="s">
        <v>219</v>
      </c>
      <c r="I55" s="3">
        <v>4800</v>
      </c>
      <c r="J55" s="2" t="s">
        <v>219</v>
      </c>
      <c r="K55" s="2" t="s">
        <v>219</v>
      </c>
      <c r="L55" s="3">
        <v>3200</v>
      </c>
      <c r="M55" s="4">
        <v>3</v>
      </c>
      <c r="N55" s="3">
        <v>470000000000</v>
      </c>
      <c r="O55" s="3">
        <v>1600</v>
      </c>
      <c r="P55" s="3">
        <v>78333.333299999998</v>
      </c>
    </row>
    <row r="56" spans="1:16" x14ac:dyDescent="0.25">
      <c r="A56" s="2" t="s">
        <v>81</v>
      </c>
      <c r="B56" s="2" t="s">
        <v>10</v>
      </c>
      <c r="C56" s="2" t="s">
        <v>56</v>
      </c>
      <c r="D56" s="2" t="s">
        <v>213</v>
      </c>
      <c r="E56" s="2" t="s">
        <v>219</v>
      </c>
      <c r="F56" s="4">
        <v>1100000</v>
      </c>
      <c r="G56" s="3">
        <v>200</v>
      </c>
      <c r="H56" s="2" t="s">
        <v>221</v>
      </c>
      <c r="I56" s="3">
        <v>480</v>
      </c>
      <c r="J56" s="2" t="s">
        <v>239</v>
      </c>
      <c r="K56" s="2" t="s">
        <v>224</v>
      </c>
      <c r="L56" s="3">
        <v>700</v>
      </c>
      <c r="M56" s="4">
        <v>4</v>
      </c>
      <c r="N56" s="3">
        <v>5000000000</v>
      </c>
      <c r="O56" s="3">
        <v>-220</v>
      </c>
      <c r="P56" s="3">
        <v>4545.4544999999998</v>
      </c>
    </row>
    <row r="57" spans="1:16" x14ac:dyDescent="0.25">
      <c r="A57" s="2" t="s">
        <v>82</v>
      </c>
      <c r="B57" s="2" t="s">
        <v>19</v>
      </c>
      <c r="C57" s="2" t="s">
        <v>20</v>
      </c>
      <c r="D57" s="2" t="s">
        <v>214</v>
      </c>
      <c r="E57" s="2" t="s">
        <v>220</v>
      </c>
      <c r="F57" s="4">
        <v>70000</v>
      </c>
      <c r="G57" s="3">
        <v>400</v>
      </c>
      <c r="H57" s="2" t="s">
        <v>224</v>
      </c>
      <c r="I57" s="3">
        <v>1000</v>
      </c>
      <c r="J57" s="2" t="s">
        <v>221</v>
      </c>
      <c r="K57" s="2" t="s">
        <v>224</v>
      </c>
      <c r="L57" s="3">
        <v>900</v>
      </c>
      <c r="M57" s="4">
        <v>3</v>
      </c>
      <c r="N57" s="3">
        <v>1300000000</v>
      </c>
      <c r="O57" s="3">
        <v>100</v>
      </c>
      <c r="P57" s="3">
        <v>18571.428599999999</v>
      </c>
    </row>
    <row r="58" spans="1:16" x14ac:dyDescent="0.25">
      <c r="A58" s="2" t="s">
        <v>83</v>
      </c>
      <c r="B58" s="2" t="s">
        <v>19</v>
      </c>
      <c r="C58" s="2" t="s">
        <v>20</v>
      </c>
      <c r="D58" s="2" t="s">
        <v>216</v>
      </c>
      <c r="E58" s="2" t="s">
        <v>222</v>
      </c>
      <c r="F58" s="4">
        <v>11000000</v>
      </c>
      <c r="G58" s="3">
        <v>400</v>
      </c>
      <c r="H58" s="2" t="s">
        <v>224</v>
      </c>
      <c r="I58" s="3">
        <v>1050</v>
      </c>
      <c r="J58" s="2" t="s">
        <v>221</v>
      </c>
      <c r="K58" s="2" t="s">
        <v>224</v>
      </c>
      <c r="L58" s="3">
        <v>850</v>
      </c>
      <c r="M58" s="4">
        <v>5</v>
      </c>
      <c r="N58" s="3">
        <v>135000000000</v>
      </c>
      <c r="O58" s="3">
        <v>200</v>
      </c>
      <c r="P58" s="3">
        <v>12272.7273</v>
      </c>
    </row>
    <row r="59" spans="1:16" x14ac:dyDescent="0.25">
      <c r="A59" s="2" t="s">
        <v>84</v>
      </c>
      <c r="B59" s="2" t="s">
        <v>4</v>
      </c>
      <c r="C59" s="2" t="s">
        <v>51</v>
      </c>
      <c r="D59" s="2" t="s">
        <v>214</v>
      </c>
      <c r="E59" s="2" t="s">
        <v>220</v>
      </c>
      <c r="F59" s="4">
        <v>1300000</v>
      </c>
      <c r="G59" s="3">
        <v>150</v>
      </c>
      <c r="H59" s="2" t="s">
        <v>221</v>
      </c>
      <c r="I59" s="3">
        <v>320</v>
      </c>
      <c r="J59" s="2" t="s">
        <v>239</v>
      </c>
      <c r="K59" s="2" t="s">
        <v>239</v>
      </c>
      <c r="L59" s="3">
        <v>300</v>
      </c>
      <c r="M59" s="4">
        <v>4</v>
      </c>
      <c r="N59" s="3">
        <v>4500000000</v>
      </c>
      <c r="O59" s="3">
        <v>20</v>
      </c>
      <c r="P59" s="3">
        <v>3461.5385000000001</v>
      </c>
    </row>
    <row r="60" spans="1:16" x14ac:dyDescent="0.25">
      <c r="A60" s="2" t="s">
        <v>85</v>
      </c>
      <c r="B60" s="2" t="s">
        <v>23</v>
      </c>
      <c r="C60" s="2" t="s">
        <v>23</v>
      </c>
      <c r="D60" s="2" t="s">
        <v>216</v>
      </c>
      <c r="E60" s="2" t="s">
        <v>222</v>
      </c>
      <c r="F60" s="4">
        <v>18000000</v>
      </c>
      <c r="G60" s="3">
        <v>460</v>
      </c>
      <c r="H60" s="2" t="s">
        <v>224</v>
      </c>
      <c r="I60" s="3">
        <v>850</v>
      </c>
      <c r="J60" s="2" t="s">
        <v>221</v>
      </c>
      <c r="K60" s="2" t="s">
        <v>224</v>
      </c>
      <c r="L60" s="3">
        <v>650</v>
      </c>
      <c r="M60" s="4">
        <v>3</v>
      </c>
      <c r="N60" s="3">
        <v>125000000000</v>
      </c>
      <c r="O60" s="3">
        <v>200</v>
      </c>
      <c r="P60" s="3">
        <v>6944.4444000000003</v>
      </c>
    </row>
    <row r="61" spans="1:16" x14ac:dyDescent="0.25">
      <c r="A61" s="2" t="s">
        <v>86</v>
      </c>
      <c r="B61" s="2" t="s">
        <v>10</v>
      </c>
      <c r="C61" s="2" t="s">
        <v>11</v>
      </c>
      <c r="D61" s="2" t="s">
        <v>214</v>
      </c>
      <c r="E61" s="2" t="s">
        <v>220</v>
      </c>
      <c r="F61" s="4">
        <v>112000000</v>
      </c>
      <c r="G61" s="3">
        <v>120</v>
      </c>
      <c r="H61" s="2" t="s">
        <v>221</v>
      </c>
      <c r="I61" s="3">
        <v>380</v>
      </c>
      <c r="J61" s="2" t="s">
        <v>239</v>
      </c>
      <c r="K61" s="2" t="s">
        <v>221</v>
      </c>
      <c r="L61" s="3">
        <v>380</v>
      </c>
      <c r="M61" s="4">
        <v>12</v>
      </c>
      <c r="N61" s="3">
        <v>560000000000</v>
      </c>
      <c r="O61" s="3">
        <v>0</v>
      </c>
      <c r="P61" s="3">
        <v>5000</v>
      </c>
    </row>
    <row r="62" spans="1:16" x14ac:dyDescent="0.25">
      <c r="A62" s="2" t="s">
        <v>87</v>
      </c>
      <c r="B62" s="2" t="s">
        <v>19</v>
      </c>
      <c r="C62" s="2" t="s">
        <v>40</v>
      </c>
      <c r="D62" s="2" t="s">
        <v>214</v>
      </c>
      <c r="E62" s="2" t="s">
        <v>220</v>
      </c>
      <c r="F62" s="4">
        <v>6300000</v>
      </c>
      <c r="G62" s="3">
        <v>365</v>
      </c>
      <c r="H62" s="2" t="s">
        <v>224</v>
      </c>
      <c r="I62" s="3">
        <v>780</v>
      </c>
      <c r="J62" s="2" t="s">
        <v>221</v>
      </c>
      <c r="K62" s="2" t="s">
        <v>224</v>
      </c>
      <c r="L62" s="3">
        <v>700</v>
      </c>
      <c r="M62" s="4">
        <v>3</v>
      </c>
      <c r="N62" s="3">
        <v>85000000000</v>
      </c>
      <c r="O62" s="3">
        <v>80</v>
      </c>
      <c r="P62" s="3">
        <v>13492.0635</v>
      </c>
    </row>
    <row r="63" spans="1:16" x14ac:dyDescent="0.25">
      <c r="A63" s="2" t="s">
        <v>88</v>
      </c>
      <c r="B63" s="2" t="s">
        <v>10</v>
      </c>
      <c r="C63" s="2" t="s">
        <v>17</v>
      </c>
      <c r="D63" s="2" t="s">
        <v>214</v>
      </c>
      <c r="E63" s="2" t="s">
        <v>220</v>
      </c>
      <c r="F63" s="4">
        <v>1800000</v>
      </c>
      <c r="G63" s="3">
        <v>200</v>
      </c>
      <c r="H63" s="2" t="s">
        <v>221</v>
      </c>
      <c r="I63" s="3">
        <v>640</v>
      </c>
      <c r="J63" s="2" t="s">
        <v>221</v>
      </c>
      <c r="K63" s="2" t="s">
        <v>221</v>
      </c>
      <c r="L63" s="3">
        <v>600</v>
      </c>
      <c r="M63" s="4">
        <v>4</v>
      </c>
      <c r="N63" s="3">
        <v>12000000000</v>
      </c>
      <c r="O63" s="3">
        <v>40</v>
      </c>
      <c r="P63" s="3">
        <v>6666.6666999999998</v>
      </c>
    </row>
    <row r="64" spans="1:16" x14ac:dyDescent="0.25">
      <c r="A64" s="2" t="s">
        <v>89</v>
      </c>
      <c r="B64" s="2" t="s">
        <v>10</v>
      </c>
      <c r="C64" s="2" t="s">
        <v>56</v>
      </c>
      <c r="D64" s="2" t="s">
        <v>213</v>
      </c>
      <c r="E64" s="2" t="s">
        <v>219</v>
      </c>
      <c r="F64" s="4">
        <v>3700000</v>
      </c>
      <c r="G64" s="3">
        <v>50</v>
      </c>
      <c r="H64" s="2" t="s">
        <v>239</v>
      </c>
      <c r="I64" s="3">
        <v>110</v>
      </c>
      <c r="J64" s="2" t="s">
        <v>239</v>
      </c>
      <c r="K64" s="2" t="s">
        <v>239</v>
      </c>
      <c r="L64" s="3">
        <v>180</v>
      </c>
      <c r="M64" s="4">
        <v>6</v>
      </c>
      <c r="N64" s="3">
        <v>4000000000</v>
      </c>
      <c r="O64" s="3">
        <v>-70</v>
      </c>
      <c r="P64" s="3">
        <v>1081.0811000000001</v>
      </c>
    </row>
    <row r="65" spans="1:16" x14ac:dyDescent="0.25">
      <c r="A65" s="2" t="s">
        <v>90</v>
      </c>
      <c r="B65" s="2" t="s">
        <v>7</v>
      </c>
      <c r="C65" s="2" t="s">
        <v>80</v>
      </c>
      <c r="D65" s="2" t="s">
        <v>215</v>
      </c>
      <c r="E65" s="2" t="s">
        <v>221</v>
      </c>
      <c r="F65" s="4">
        <v>1300000</v>
      </c>
      <c r="G65" s="3">
        <v>1000</v>
      </c>
      <c r="H65" s="2" t="s">
        <v>220</v>
      </c>
      <c r="I65" s="3">
        <v>2300</v>
      </c>
      <c r="J65" s="2" t="s">
        <v>224</v>
      </c>
      <c r="K65" s="2" t="s">
        <v>220</v>
      </c>
      <c r="L65" s="3">
        <v>1700</v>
      </c>
      <c r="M65" s="4">
        <v>4</v>
      </c>
      <c r="N65" s="3">
        <v>55000000000</v>
      </c>
      <c r="O65" s="3">
        <v>600</v>
      </c>
      <c r="P65" s="3">
        <v>42307.692300000002</v>
      </c>
    </row>
    <row r="66" spans="1:16" x14ac:dyDescent="0.25">
      <c r="A66" s="2" t="s">
        <v>91</v>
      </c>
      <c r="B66" s="2" t="s">
        <v>10</v>
      </c>
      <c r="C66" s="2" t="s">
        <v>56</v>
      </c>
      <c r="D66" s="2" t="s">
        <v>213</v>
      </c>
      <c r="E66" s="2" t="s">
        <v>219</v>
      </c>
      <c r="F66" s="4">
        <v>126000000</v>
      </c>
      <c r="G66" s="3">
        <v>60</v>
      </c>
      <c r="H66" s="2" t="s">
        <v>239</v>
      </c>
      <c r="I66" s="3">
        <v>180</v>
      </c>
      <c r="J66" s="2" t="s">
        <v>239</v>
      </c>
      <c r="K66" s="2" t="s">
        <v>239</v>
      </c>
      <c r="L66" s="3">
        <v>250</v>
      </c>
      <c r="M66" s="4">
        <v>15</v>
      </c>
      <c r="N66" s="3">
        <v>240000000000</v>
      </c>
      <c r="O66" s="3">
        <v>-70</v>
      </c>
      <c r="P66" s="3">
        <v>1904.7619</v>
      </c>
    </row>
    <row r="67" spans="1:16" x14ac:dyDescent="0.25">
      <c r="A67" s="2" t="s">
        <v>92</v>
      </c>
      <c r="B67" s="2" t="s">
        <v>13</v>
      </c>
      <c r="C67" s="2" t="s">
        <v>93</v>
      </c>
      <c r="D67" s="2" t="s">
        <v>214</v>
      </c>
      <c r="E67" s="2" t="s">
        <v>220</v>
      </c>
      <c r="F67" s="4">
        <v>930000</v>
      </c>
      <c r="G67" s="3">
        <v>120</v>
      </c>
      <c r="H67" s="2" t="s">
        <v>221</v>
      </c>
      <c r="I67" s="3">
        <v>480</v>
      </c>
      <c r="J67" s="2" t="s">
        <v>239</v>
      </c>
      <c r="K67" s="2" t="s">
        <v>221</v>
      </c>
      <c r="L67" s="3">
        <v>650</v>
      </c>
      <c r="M67" s="4">
        <v>4</v>
      </c>
      <c r="N67" s="3">
        <v>6500000000</v>
      </c>
      <c r="O67" s="3">
        <v>-170</v>
      </c>
      <c r="P67" s="3">
        <v>6989.2473</v>
      </c>
    </row>
    <row r="68" spans="1:16" x14ac:dyDescent="0.25">
      <c r="A68" s="2" t="s">
        <v>94</v>
      </c>
      <c r="B68" s="2" t="s">
        <v>7</v>
      </c>
      <c r="C68" s="2" t="s">
        <v>80</v>
      </c>
      <c r="D68" s="2" t="s">
        <v>215</v>
      </c>
      <c r="E68" s="2" t="s">
        <v>221</v>
      </c>
      <c r="F68" s="4">
        <v>5600000</v>
      </c>
      <c r="G68" s="3">
        <v>0</v>
      </c>
      <c r="H68" s="2" t="s">
        <v>219</v>
      </c>
      <c r="I68" s="3">
        <v>4600</v>
      </c>
      <c r="J68" s="2" t="s">
        <v>219</v>
      </c>
      <c r="K68" s="2" t="s">
        <v>219</v>
      </c>
      <c r="L68" s="3">
        <v>3000</v>
      </c>
      <c r="M68" s="4">
        <v>3</v>
      </c>
      <c r="N68" s="3">
        <v>330000000000</v>
      </c>
      <c r="O68" s="3">
        <v>1600</v>
      </c>
      <c r="P68" s="3">
        <v>58928.571400000001</v>
      </c>
    </row>
    <row r="69" spans="1:16" x14ac:dyDescent="0.25">
      <c r="A69" s="2" t="s">
        <v>95</v>
      </c>
      <c r="B69" s="2" t="s">
        <v>7</v>
      </c>
      <c r="C69" s="2" t="s">
        <v>30</v>
      </c>
      <c r="D69" s="2" t="s">
        <v>215</v>
      </c>
      <c r="E69" s="2" t="s">
        <v>221</v>
      </c>
      <c r="F69" s="4">
        <v>68000000</v>
      </c>
      <c r="G69" s="3">
        <v>1800</v>
      </c>
      <c r="H69" s="2" t="s">
        <v>219</v>
      </c>
      <c r="I69" s="3">
        <v>3600</v>
      </c>
      <c r="J69" s="2" t="s">
        <v>219</v>
      </c>
      <c r="K69" s="2" t="s">
        <v>219</v>
      </c>
      <c r="L69" s="3">
        <v>2800</v>
      </c>
      <c r="M69" s="4">
        <v>3</v>
      </c>
      <c r="N69" s="3">
        <v>3100000000000</v>
      </c>
      <c r="O69" s="3">
        <v>800</v>
      </c>
      <c r="P69" s="3">
        <v>45588.2353</v>
      </c>
    </row>
    <row r="70" spans="1:16" x14ac:dyDescent="0.25">
      <c r="A70" s="2" t="s">
        <v>96</v>
      </c>
      <c r="B70" s="2" t="s">
        <v>10</v>
      </c>
      <c r="C70" s="2" t="s">
        <v>17</v>
      </c>
      <c r="D70" s="2" t="s">
        <v>214</v>
      </c>
      <c r="E70" s="2" t="s">
        <v>220</v>
      </c>
      <c r="F70" s="4">
        <v>2400000</v>
      </c>
      <c r="G70" s="3">
        <v>250</v>
      </c>
      <c r="H70" s="2" t="s">
        <v>221</v>
      </c>
      <c r="I70" s="3">
        <v>720</v>
      </c>
      <c r="J70" s="2" t="s">
        <v>221</v>
      </c>
      <c r="K70" s="2" t="s">
        <v>224</v>
      </c>
      <c r="L70" s="3">
        <v>900</v>
      </c>
      <c r="M70" s="4">
        <v>4</v>
      </c>
      <c r="N70" s="3">
        <v>23000000000</v>
      </c>
      <c r="O70" s="3">
        <v>-180</v>
      </c>
      <c r="P70" s="3">
        <v>9583.3333000000002</v>
      </c>
    </row>
    <row r="71" spans="1:16" x14ac:dyDescent="0.25">
      <c r="A71" s="2" t="s">
        <v>97</v>
      </c>
      <c r="B71" s="2" t="s">
        <v>10</v>
      </c>
      <c r="C71" s="2" t="s">
        <v>42</v>
      </c>
      <c r="D71" s="2" t="s">
        <v>213</v>
      </c>
      <c r="E71" s="2" t="s">
        <v>219</v>
      </c>
      <c r="F71" s="4">
        <v>2800000</v>
      </c>
      <c r="G71" s="3">
        <v>60</v>
      </c>
      <c r="H71" s="2" t="s">
        <v>239</v>
      </c>
      <c r="I71" s="3">
        <v>180</v>
      </c>
      <c r="J71" s="2" t="s">
        <v>239</v>
      </c>
      <c r="K71" s="2" t="s">
        <v>239</v>
      </c>
      <c r="L71" s="3">
        <v>220</v>
      </c>
      <c r="M71" s="4">
        <v>5</v>
      </c>
      <c r="N71" s="3">
        <v>5000000000</v>
      </c>
      <c r="O71" s="3">
        <v>-40</v>
      </c>
      <c r="P71" s="3">
        <v>1785.7143000000001</v>
      </c>
    </row>
    <row r="72" spans="1:16" x14ac:dyDescent="0.25">
      <c r="A72" s="2" t="s">
        <v>98</v>
      </c>
      <c r="B72" s="2" t="s">
        <v>4</v>
      </c>
      <c r="C72" s="2" t="s">
        <v>25</v>
      </c>
      <c r="D72" s="2" t="s">
        <v>214</v>
      </c>
      <c r="E72" s="2" t="s">
        <v>220</v>
      </c>
      <c r="F72" s="4">
        <v>3700000</v>
      </c>
      <c r="G72" s="3">
        <v>300</v>
      </c>
      <c r="H72" s="2" t="s">
        <v>224</v>
      </c>
      <c r="I72" s="3">
        <v>720</v>
      </c>
      <c r="J72" s="2" t="s">
        <v>221</v>
      </c>
      <c r="K72" s="2" t="s">
        <v>221</v>
      </c>
      <c r="L72" s="3">
        <v>520</v>
      </c>
      <c r="M72" s="4">
        <v>4</v>
      </c>
      <c r="N72" s="3">
        <v>42000000000</v>
      </c>
      <c r="O72" s="3">
        <v>200</v>
      </c>
      <c r="P72" s="3">
        <v>11351.3514</v>
      </c>
    </row>
    <row r="73" spans="1:16" x14ac:dyDescent="0.25">
      <c r="A73" s="2" t="s">
        <v>99</v>
      </c>
      <c r="B73" s="2" t="s">
        <v>7</v>
      </c>
      <c r="C73" s="2" t="s">
        <v>30</v>
      </c>
      <c r="D73" s="2" t="s">
        <v>215</v>
      </c>
      <c r="E73" s="2" t="s">
        <v>221</v>
      </c>
      <c r="F73" s="4">
        <v>84000000</v>
      </c>
      <c r="G73" s="3">
        <v>2100</v>
      </c>
      <c r="H73" s="2" t="s">
        <v>219</v>
      </c>
      <c r="I73" s="3">
        <v>4300</v>
      </c>
      <c r="J73" s="2" t="s">
        <v>219</v>
      </c>
      <c r="K73" s="2" t="s">
        <v>219</v>
      </c>
      <c r="L73" s="3">
        <v>2900</v>
      </c>
      <c r="M73" s="4">
        <v>3</v>
      </c>
      <c r="N73" s="3">
        <v>4600000000000</v>
      </c>
      <c r="O73" s="3">
        <v>1400</v>
      </c>
      <c r="P73" s="3">
        <v>54761.904799999997</v>
      </c>
    </row>
    <row r="74" spans="1:16" x14ac:dyDescent="0.25">
      <c r="A74" s="2" t="s">
        <v>100</v>
      </c>
      <c r="B74" s="2" t="s">
        <v>10</v>
      </c>
      <c r="C74" s="2" t="s">
        <v>42</v>
      </c>
      <c r="D74" s="2" t="s">
        <v>214</v>
      </c>
      <c r="E74" s="2" t="s">
        <v>220</v>
      </c>
      <c r="F74" s="4">
        <v>34000000</v>
      </c>
      <c r="G74" s="3">
        <v>80</v>
      </c>
      <c r="H74" s="2" t="s">
        <v>239</v>
      </c>
      <c r="I74" s="3">
        <v>240</v>
      </c>
      <c r="J74" s="2" t="s">
        <v>239</v>
      </c>
      <c r="K74" s="2" t="s">
        <v>221</v>
      </c>
      <c r="L74" s="3">
        <v>400</v>
      </c>
      <c r="M74" s="4">
        <v>20</v>
      </c>
      <c r="N74" s="3">
        <v>90000000000</v>
      </c>
      <c r="O74" s="3">
        <v>-160</v>
      </c>
      <c r="P74" s="3">
        <v>2647.0587999999998</v>
      </c>
    </row>
    <row r="75" spans="1:16" x14ac:dyDescent="0.25">
      <c r="A75" s="2" t="s">
        <v>101</v>
      </c>
      <c r="B75" s="2" t="s">
        <v>7</v>
      </c>
      <c r="C75" s="2" t="s">
        <v>8</v>
      </c>
      <c r="D75" s="2" t="s">
        <v>215</v>
      </c>
      <c r="E75" s="2" t="s">
        <v>221</v>
      </c>
      <c r="F75" s="4">
        <v>10300000</v>
      </c>
      <c r="G75" s="3">
        <v>950</v>
      </c>
      <c r="H75" s="2" t="s">
        <v>220</v>
      </c>
      <c r="I75" s="3">
        <v>1800</v>
      </c>
      <c r="J75" s="2" t="s">
        <v>224</v>
      </c>
      <c r="K75" s="2" t="s">
        <v>220</v>
      </c>
      <c r="L75" s="3">
        <v>1600</v>
      </c>
      <c r="M75" s="4">
        <v>3</v>
      </c>
      <c r="N75" s="3">
        <v>290000000000</v>
      </c>
      <c r="O75" s="3">
        <v>200</v>
      </c>
      <c r="P75" s="3">
        <v>28155.339800000002</v>
      </c>
    </row>
    <row r="76" spans="1:16" x14ac:dyDescent="0.25">
      <c r="A76" s="2" t="s">
        <v>102</v>
      </c>
      <c r="B76" s="2" t="s">
        <v>19</v>
      </c>
      <c r="C76" s="2" t="s">
        <v>20</v>
      </c>
      <c r="D76" s="2" t="s">
        <v>214</v>
      </c>
      <c r="E76" s="2" t="s">
        <v>220</v>
      </c>
      <c r="F76" s="4">
        <v>125000</v>
      </c>
      <c r="G76" s="3">
        <v>500</v>
      </c>
      <c r="H76" s="2" t="s">
        <v>224</v>
      </c>
      <c r="I76" s="3">
        <v>1200</v>
      </c>
      <c r="J76" s="2" t="s">
        <v>221</v>
      </c>
      <c r="K76" s="2" t="s">
        <v>220</v>
      </c>
      <c r="L76" s="3">
        <v>1500</v>
      </c>
      <c r="M76" s="4">
        <v>3</v>
      </c>
      <c r="N76" s="3">
        <v>2000000000</v>
      </c>
      <c r="O76" s="3">
        <v>-300</v>
      </c>
      <c r="P76" s="3">
        <v>16000</v>
      </c>
    </row>
    <row r="77" spans="1:16" x14ac:dyDescent="0.25">
      <c r="A77" s="2" t="s">
        <v>104</v>
      </c>
      <c r="B77" s="2" t="s">
        <v>19</v>
      </c>
      <c r="C77" s="2" t="s">
        <v>40</v>
      </c>
      <c r="D77" s="2" t="s">
        <v>214</v>
      </c>
      <c r="E77" s="2" t="s">
        <v>220</v>
      </c>
      <c r="F77" s="4">
        <v>18000000</v>
      </c>
      <c r="G77" s="3">
        <v>450</v>
      </c>
      <c r="H77" s="2" t="s">
        <v>224</v>
      </c>
      <c r="I77" s="3">
        <v>800</v>
      </c>
      <c r="J77" s="2" t="s">
        <v>221</v>
      </c>
      <c r="K77" s="2" t="s">
        <v>221</v>
      </c>
      <c r="L77" s="3">
        <v>520</v>
      </c>
      <c r="M77" s="4">
        <v>4</v>
      </c>
      <c r="N77" s="3">
        <v>130000000000</v>
      </c>
      <c r="O77" s="3">
        <v>280</v>
      </c>
      <c r="P77" s="3">
        <v>7222.2222000000002</v>
      </c>
    </row>
    <row r="78" spans="1:16" x14ac:dyDescent="0.25">
      <c r="A78" s="2" t="s">
        <v>105</v>
      </c>
      <c r="B78" s="2" t="s">
        <v>10</v>
      </c>
      <c r="C78" s="2" t="s">
        <v>42</v>
      </c>
      <c r="D78" s="2" t="s">
        <v>213</v>
      </c>
      <c r="E78" s="2" t="s">
        <v>219</v>
      </c>
      <c r="F78" s="4">
        <v>14000000</v>
      </c>
      <c r="G78" s="3">
        <v>70</v>
      </c>
      <c r="H78" s="2" t="s">
        <v>239</v>
      </c>
      <c r="I78" s="3">
        <v>180</v>
      </c>
      <c r="J78" s="2" t="s">
        <v>239</v>
      </c>
      <c r="K78" s="2" t="s">
        <v>239</v>
      </c>
      <c r="L78" s="3">
        <v>220</v>
      </c>
      <c r="M78" s="4">
        <v>8</v>
      </c>
      <c r="N78" s="3">
        <v>38000000000</v>
      </c>
      <c r="O78" s="3">
        <v>-40</v>
      </c>
      <c r="P78" s="3">
        <v>2714.2856999999999</v>
      </c>
    </row>
    <row r="79" spans="1:16" x14ac:dyDescent="0.25">
      <c r="A79" s="2" t="s">
        <v>106</v>
      </c>
      <c r="B79" s="2" t="s">
        <v>10</v>
      </c>
      <c r="C79" s="2" t="s">
        <v>42</v>
      </c>
      <c r="D79" s="2" t="s">
        <v>213</v>
      </c>
      <c r="E79" s="2" t="s">
        <v>219</v>
      </c>
      <c r="F79" s="4">
        <v>2200000</v>
      </c>
      <c r="G79" s="3">
        <v>60</v>
      </c>
      <c r="H79" s="2" t="s">
        <v>239</v>
      </c>
      <c r="I79" s="3">
        <v>150</v>
      </c>
      <c r="J79" s="2" t="s">
        <v>239</v>
      </c>
      <c r="K79" s="2" t="s">
        <v>239</v>
      </c>
      <c r="L79" s="3">
        <v>200</v>
      </c>
      <c r="M79" s="4">
        <v>5</v>
      </c>
      <c r="N79" s="3">
        <v>2200000000</v>
      </c>
      <c r="O79" s="3">
        <v>-50</v>
      </c>
      <c r="P79" s="3">
        <v>1000</v>
      </c>
    </row>
    <row r="80" spans="1:16" x14ac:dyDescent="0.25">
      <c r="A80" s="2" t="s">
        <v>107</v>
      </c>
      <c r="B80" s="2" t="s">
        <v>23</v>
      </c>
      <c r="C80" s="2" t="s">
        <v>23</v>
      </c>
      <c r="D80" s="2" t="s">
        <v>216</v>
      </c>
      <c r="E80" s="2" t="s">
        <v>222</v>
      </c>
      <c r="F80" s="4">
        <v>800000</v>
      </c>
      <c r="G80" s="3">
        <v>500</v>
      </c>
      <c r="H80" s="2" t="s">
        <v>224</v>
      </c>
      <c r="I80" s="3">
        <v>1300</v>
      </c>
      <c r="J80" s="2" t="s">
        <v>221</v>
      </c>
      <c r="K80" s="2" t="s">
        <v>224</v>
      </c>
      <c r="L80" s="3">
        <v>650</v>
      </c>
      <c r="M80" s="4">
        <v>4</v>
      </c>
      <c r="N80" s="3">
        <v>25000000000</v>
      </c>
      <c r="O80" s="3">
        <v>650</v>
      </c>
      <c r="P80" s="3">
        <v>31250</v>
      </c>
    </row>
    <row r="81" spans="1:16" x14ac:dyDescent="0.25">
      <c r="A81" s="2" t="s">
        <v>108</v>
      </c>
      <c r="B81" s="2" t="s">
        <v>19</v>
      </c>
      <c r="C81" s="2" t="s">
        <v>20</v>
      </c>
      <c r="D81" s="2" t="s">
        <v>213</v>
      </c>
      <c r="E81" s="2" t="s">
        <v>219</v>
      </c>
      <c r="F81" s="4">
        <v>11500000</v>
      </c>
      <c r="G81" s="3">
        <v>120</v>
      </c>
      <c r="H81" s="2" t="s">
        <v>239</v>
      </c>
      <c r="I81" s="3">
        <v>220</v>
      </c>
      <c r="J81" s="2" t="s">
        <v>239</v>
      </c>
      <c r="K81" s="2" t="s">
        <v>239</v>
      </c>
      <c r="L81" s="3">
        <v>240</v>
      </c>
      <c r="M81" s="4">
        <v>18</v>
      </c>
      <c r="N81" s="3">
        <v>20000000000</v>
      </c>
      <c r="O81" s="3">
        <v>-20</v>
      </c>
      <c r="P81" s="3">
        <v>1739.1304</v>
      </c>
    </row>
    <row r="82" spans="1:16" x14ac:dyDescent="0.25">
      <c r="A82" s="2" t="s">
        <v>109</v>
      </c>
      <c r="B82" s="2" t="s">
        <v>19</v>
      </c>
      <c r="C82" s="2" t="s">
        <v>40</v>
      </c>
      <c r="D82" s="2" t="s">
        <v>214</v>
      </c>
      <c r="E82" s="2" t="s">
        <v>220</v>
      </c>
      <c r="F82" s="4">
        <v>10600000</v>
      </c>
      <c r="G82" s="3">
        <v>350</v>
      </c>
      <c r="H82" s="2" t="s">
        <v>224</v>
      </c>
      <c r="I82" s="3">
        <v>750</v>
      </c>
      <c r="J82" s="2" t="s">
        <v>221</v>
      </c>
      <c r="K82" s="2" t="s">
        <v>221</v>
      </c>
      <c r="L82" s="3">
        <v>500</v>
      </c>
      <c r="M82" s="4">
        <v>5</v>
      </c>
      <c r="N82" s="3">
        <v>70000000000</v>
      </c>
      <c r="O82" s="3">
        <v>250</v>
      </c>
      <c r="P82" s="3">
        <v>6603.7736000000004</v>
      </c>
    </row>
    <row r="83" spans="1:16" x14ac:dyDescent="0.25">
      <c r="A83" s="2" t="s">
        <v>110</v>
      </c>
      <c r="B83" s="2" t="s">
        <v>4</v>
      </c>
      <c r="C83" s="2" t="s">
        <v>67</v>
      </c>
      <c r="D83" s="2" t="s">
        <v>215</v>
      </c>
      <c r="E83" s="2" t="s">
        <v>221</v>
      </c>
      <c r="F83" s="4">
        <v>7500000</v>
      </c>
      <c r="G83" s="3">
        <v>900</v>
      </c>
      <c r="H83" s="2" t="s">
        <v>220</v>
      </c>
      <c r="I83" s="3">
        <v>3200</v>
      </c>
      <c r="J83" s="2" t="s">
        <v>220</v>
      </c>
      <c r="K83" s="2" t="s">
        <v>219</v>
      </c>
      <c r="L83" s="3">
        <v>3000</v>
      </c>
      <c r="M83" s="4">
        <v>2</v>
      </c>
      <c r="N83" s="3">
        <v>430000000000</v>
      </c>
      <c r="O83" s="3">
        <v>200</v>
      </c>
      <c r="P83" s="3">
        <v>57333.333299999998</v>
      </c>
    </row>
    <row r="84" spans="1:16" x14ac:dyDescent="0.25">
      <c r="A84" s="2" t="s">
        <v>111</v>
      </c>
      <c r="B84" s="2" t="s">
        <v>7</v>
      </c>
      <c r="C84" s="2" t="s">
        <v>37</v>
      </c>
      <c r="D84" s="2" t="s">
        <v>215</v>
      </c>
      <c r="E84" s="2" t="s">
        <v>221</v>
      </c>
      <c r="F84" s="4">
        <v>9600000</v>
      </c>
      <c r="G84" s="3">
        <v>800</v>
      </c>
      <c r="H84" s="2" t="s">
        <v>220</v>
      </c>
      <c r="I84" s="3">
        <v>1900</v>
      </c>
      <c r="J84" s="2" t="s">
        <v>224</v>
      </c>
      <c r="K84" s="2" t="s">
        <v>224</v>
      </c>
      <c r="L84" s="3">
        <v>1500</v>
      </c>
      <c r="M84" s="4">
        <v>4</v>
      </c>
      <c r="N84" s="3">
        <v>300000000000</v>
      </c>
      <c r="O84" s="3">
        <v>400</v>
      </c>
      <c r="P84" s="3">
        <v>31250</v>
      </c>
    </row>
    <row r="85" spans="1:16" x14ac:dyDescent="0.25">
      <c r="A85" s="2" t="s">
        <v>112</v>
      </c>
      <c r="B85" s="2" t="s">
        <v>7</v>
      </c>
      <c r="C85" s="2" t="s">
        <v>80</v>
      </c>
      <c r="D85" s="2" t="s">
        <v>215</v>
      </c>
      <c r="E85" s="2" t="s">
        <v>221</v>
      </c>
      <c r="F85" s="4">
        <v>390000</v>
      </c>
      <c r="G85" s="3">
        <v>0</v>
      </c>
      <c r="H85" s="2" t="s">
        <v>219</v>
      </c>
      <c r="I85" s="3">
        <v>5600</v>
      </c>
      <c r="J85" s="2" t="s">
        <v>219</v>
      </c>
      <c r="K85" s="2" t="s">
        <v>219</v>
      </c>
      <c r="L85" s="3">
        <v>3500</v>
      </c>
      <c r="M85" s="4">
        <v>3</v>
      </c>
      <c r="N85" s="3">
        <v>36000000000</v>
      </c>
      <c r="O85" s="3">
        <v>2100</v>
      </c>
      <c r="P85" s="3">
        <v>92307.692299999995</v>
      </c>
    </row>
    <row r="86" spans="1:16" x14ac:dyDescent="0.25">
      <c r="A86" s="2" t="s">
        <v>113</v>
      </c>
      <c r="B86" s="2" t="s">
        <v>4</v>
      </c>
      <c r="C86" s="2" t="s">
        <v>5</v>
      </c>
      <c r="D86" s="2" t="s">
        <v>214</v>
      </c>
      <c r="E86" s="2" t="s">
        <v>220</v>
      </c>
      <c r="F86" s="4">
        <v>1440000000</v>
      </c>
      <c r="G86" s="3">
        <v>100</v>
      </c>
      <c r="H86" s="2" t="s">
        <v>239</v>
      </c>
      <c r="I86" s="3">
        <v>360</v>
      </c>
      <c r="J86" s="2" t="s">
        <v>239</v>
      </c>
      <c r="K86" s="2" t="s">
        <v>239</v>
      </c>
      <c r="L86" s="3">
        <v>300</v>
      </c>
      <c r="M86" s="4">
        <v>5</v>
      </c>
      <c r="N86" s="3">
        <v>4200000000000</v>
      </c>
      <c r="O86" s="3">
        <v>60</v>
      </c>
      <c r="P86" s="3">
        <v>2916.6667000000002</v>
      </c>
    </row>
    <row r="87" spans="1:16" x14ac:dyDescent="0.25">
      <c r="A87" s="2" t="s">
        <v>114</v>
      </c>
      <c r="B87" s="2" t="s">
        <v>4</v>
      </c>
      <c r="C87" s="2" t="s">
        <v>51</v>
      </c>
      <c r="D87" s="2" t="s">
        <v>216</v>
      </c>
      <c r="E87" s="2" t="s">
        <v>222</v>
      </c>
      <c r="F87" s="4">
        <v>278000000</v>
      </c>
      <c r="G87" s="3">
        <v>200</v>
      </c>
      <c r="H87" s="2" t="s">
        <v>221</v>
      </c>
      <c r="I87" s="3">
        <v>640</v>
      </c>
      <c r="J87" s="2" t="s">
        <v>221</v>
      </c>
      <c r="K87" s="2" t="s">
        <v>221</v>
      </c>
      <c r="L87" s="3">
        <v>600</v>
      </c>
      <c r="M87" s="4">
        <v>3</v>
      </c>
      <c r="N87" s="3">
        <v>1450000000000</v>
      </c>
      <c r="O87" s="3">
        <v>40</v>
      </c>
      <c r="P87" s="3">
        <v>5215.8272999999999</v>
      </c>
    </row>
    <row r="88" spans="1:16" x14ac:dyDescent="0.25">
      <c r="A88" s="2" t="s">
        <v>115</v>
      </c>
      <c r="B88" s="2" t="s">
        <v>4</v>
      </c>
      <c r="C88" s="2" t="s">
        <v>25</v>
      </c>
      <c r="D88" s="2" t="s">
        <v>216</v>
      </c>
      <c r="E88" s="2" t="s">
        <v>222</v>
      </c>
      <c r="F88" s="4">
        <v>89000000</v>
      </c>
      <c r="G88" s="3">
        <v>200</v>
      </c>
      <c r="H88" s="2" t="s">
        <v>221</v>
      </c>
      <c r="I88" s="3">
        <v>560</v>
      </c>
      <c r="J88" s="2" t="s">
        <v>221</v>
      </c>
      <c r="K88" s="2" t="s">
        <v>221</v>
      </c>
      <c r="L88" s="3">
        <v>500</v>
      </c>
      <c r="M88" s="4">
        <v>35</v>
      </c>
      <c r="N88" s="3">
        <v>430000000000</v>
      </c>
      <c r="O88" s="3">
        <v>60</v>
      </c>
      <c r="P88" s="3">
        <v>4831.4606999999996</v>
      </c>
    </row>
    <row r="89" spans="1:16" x14ac:dyDescent="0.25">
      <c r="A89" s="2" t="s">
        <v>116</v>
      </c>
      <c r="B89" s="2" t="s">
        <v>4</v>
      </c>
      <c r="C89" s="2" t="s">
        <v>25</v>
      </c>
      <c r="D89" s="2" t="s">
        <v>214</v>
      </c>
      <c r="E89" s="2" t="s">
        <v>220</v>
      </c>
      <c r="F89" s="4">
        <v>45000000</v>
      </c>
      <c r="G89" s="3">
        <v>300</v>
      </c>
      <c r="H89" s="2" t="s">
        <v>224</v>
      </c>
      <c r="I89" s="3">
        <v>720</v>
      </c>
      <c r="J89" s="2" t="s">
        <v>221</v>
      </c>
      <c r="K89" s="2" t="s">
        <v>221</v>
      </c>
      <c r="L89" s="3">
        <v>600</v>
      </c>
      <c r="M89" s="4">
        <v>4</v>
      </c>
      <c r="N89" s="3">
        <v>320000000000</v>
      </c>
      <c r="O89" s="3">
        <v>120</v>
      </c>
      <c r="P89" s="3">
        <v>7111.1111000000001</v>
      </c>
    </row>
    <row r="90" spans="1:16" x14ac:dyDescent="0.25">
      <c r="A90" s="2" t="s">
        <v>117</v>
      </c>
      <c r="B90" s="2" t="s">
        <v>7</v>
      </c>
      <c r="C90" s="2" t="s">
        <v>80</v>
      </c>
      <c r="D90" s="2" t="s">
        <v>215</v>
      </c>
      <c r="E90" s="2" t="s">
        <v>221</v>
      </c>
      <c r="F90" s="4">
        <v>5300000</v>
      </c>
      <c r="G90" s="3">
        <v>2000</v>
      </c>
      <c r="H90" s="2" t="s">
        <v>219</v>
      </c>
      <c r="I90" s="3">
        <v>5200</v>
      </c>
      <c r="J90" s="2" t="s">
        <v>219</v>
      </c>
      <c r="K90" s="2" t="s">
        <v>219</v>
      </c>
      <c r="L90" s="3">
        <v>3000</v>
      </c>
      <c r="M90" s="4">
        <v>3</v>
      </c>
      <c r="N90" s="3">
        <v>720000000000</v>
      </c>
      <c r="O90" s="3">
        <v>2200</v>
      </c>
      <c r="P90" s="3">
        <v>135849.05660000001</v>
      </c>
    </row>
    <row r="91" spans="1:16" x14ac:dyDescent="0.25">
      <c r="A91" s="2" t="s">
        <v>118</v>
      </c>
      <c r="B91" s="2" t="s">
        <v>4</v>
      </c>
      <c r="C91" s="2" t="s">
        <v>25</v>
      </c>
      <c r="D91" s="2" t="s">
        <v>215</v>
      </c>
      <c r="E91" s="2" t="s">
        <v>221</v>
      </c>
      <c r="F91" s="4">
        <v>9800000</v>
      </c>
      <c r="G91" s="3">
        <v>1700</v>
      </c>
      <c r="H91" s="2" t="s">
        <v>219</v>
      </c>
      <c r="I91" s="3">
        <v>4800</v>
      </c>
      <c r="J91" s="2" t="s">
        <v>219</v>
      </c>
      <c r="K91" s="2" t="s">
        <v>219</v>
      </c>
      <c r="L91" s="3">
        <v>3500</v>
      </c>
      <c r="M91" s="4">
        <v>3</v>
      </c>
      <c r="N91" s="3">
        <v>610000000000</v>
      </c>
      <c r="O91" s="3">
        <v>1300</v>
      </c>
      <c r="P91" s="3">
        <v>62244.898000000001</v>
      </c>
    </row>
    <row r="92" spans="1:16" x14ac:dyDescent="0.25">
      <c r="A92" s="2" t="s">
        <v>119</v>
      </c>
      <c r="B92" s="2" t="s">
        <v>7</v>
      </c>
      <c r="C92" s="2" t="s">
        <v>8</v>
      </c>
      <c r="D92" s="2" t="s">
        <v>215</v>
      </c>
      <c r="E92" s="2" t="s">
        <v>221</v>
      </c>
      <c r="F92" s="4">
        <v>59000000</v>
      </c>
      <c r="G92" s="3">
        <v>0</v>
      </c>
      <c r="H92" s="2" t="s">
        <v>219</v>
      </c>
      <c r="I92" s="3">
        <v>3200</v>
      </c>
      <c r="J92" s="2" t="s">
        <v>220</v>
      </c>
      <c r="K92" s="2" t="s">
        <v>220</v>
      </c>
      <c r="L92" s="3">
        <v>2500</v>
      </c>
      <c r="M92" s="4">
        <v>3</v>
      </c>
      <c r="N92" s="3">
        <v>2300000000000</v>
      </c>
      <c r="O92" s="3">
        <v>700</v>
      </c>
      <c r="P92" s="3">
        <v>38983.050799999997</v>
      </c>
    </row>
    <row r="93" spans="1:16" x14ac:dyDescent="0.25">
      <c r="A93" s="2" t="s">
        <v>120</v>
      </c>
      <c r="B93" s="2" t="s">
        <v>19</v>
      </c>
      <c r="C93" s="2" t="s">
        <v>20</v>
      </c>
      <c r="D93" s="2" t="s">
        <v>214</v>
      </c>
      <c r="E93" s="2" t="s">
        <v>220</v>
      </c>
      <c r="F93" s="4">
        <v>2800000</v>
      </c>
      <c r="G93" s="3">
        <v>300</v>
      </c>
      <c r="H93" s="2" t="s">
        <v>224</v>
      </c>
      <c r="I93" s="3">
        <v>880</v>
      </c>
      <c r="J93" s="2" t="s">
        <v>221</v>
      </c>
      <c r="K93" s="2" t="s">
        <v>224</v>
      </c>
      <c r="L93" s="3">
        <v>900</v>
      </c>
      <c r="M93" s="4">
        <v>6</v>
      </c>
      <c r="N93" s="3">
        <v>22000000000</v>
      </c>
      <c r="O93" s="3">
        <v>-20</v>
      </c>
      <c r="P93" s="3">
        <v>7857.1428999999998</v>
      </c>
    </row>
    <row r="94" spans="1:16" x14ac:dyDescent="0.25">
      <c r="A94" s="2" t="s">
        <v>121</v>
      </c>
      <c r="B94" s="2" t="s">
        <v>4</v>
      </c>
      <c r="C94" s="2" t="s">
        <v>67</v>
      </c>
      <c r="D94" s="2" t="s">
        <v>215</v>
      </c>
      <c r="E94" s="2" t="s">
        <v>221</v>
      </c>
      <c r="F94" s="4">
        <v>123000000</v>
      </c>
      <c r="G94" s="3">
        <v>1500</v>
      </c>
      <c r="H94" s="2" t="s">
        <v>219</v>
      </c>
      <c r="I94" s="3">
        <v>4200</v>
      </c>
      <c r="J94" s="2" t="s">
        <v>219</v>
      </c>
      <c r="K94" s="2" t="s">
        <v>219</v>
      </c>
      <c r="L94" s="3">
        <v>3200</v>
      </c>
      <c r="M94" s="4">
        <v>3</v>
      </c>
      <c r="N94" s="3">
        <v>4300000000000</v>
      </c>
      <c r="O94" s="3">
        <v>1000</v>
      </c>
      <c r="P94" s="3">
        <v>34959.349600000001</v>
      </c>
    </row>
    <row r="95" spans="1:16" x14ac:dyDescent="0.25">
      <c r="A95" s="2" t="s">
        <v>122</v>
      </c>
      <c r="B95" s="2" t="s">
        <v>4</v>
      </c>
      <c r="C95" s="2" t="s">
        <v>25</v>
      </c>
      <c r="D95" s="2" t="s">
        <v>214</v>
      </c>
      <c r="E95" s="2" t="s">
        <v>220</v>
      </c>
      <c r="F95" s="4">
        <v>11000000</v>
      </c>
      <c r="G95" s="3">
        <v>320</v>
      </c>
      <c r="H95" s="2" t="s">
        <v>224</v>
      </c>
      <c r="I95" s="3">
        <v>720</v>
      </c>
      <c r="J95" s="2" t="s">
        <v>221</v>
      </c>
      <c r="K95" s="2" t="s">
        <v>221</v>
      </c>
      <c r="L95" s="3">
        <v>520</v>
      </c>
      <c r="M95" s="4">
        <v>3</v>
      </c>
      <c r="N95" s="3">
        <v>60000000000</v>
      </c>
      <c r="O95" s="3">
        <v>200</v>
      </c>
      <c r="P95" s="3">
        <v>5454.5455000000002</v>
      </c>
    </row>
    <row r="96" spans="1:16" x14ac:dyDescent="0.25">
      <c r="A96" s="2" t="s">
        <v>123</v>
      </c>
      <c r="B96" s="2" t="s">
        <v>4</v>
      </c>
      <c r="C96" s="2" t="s">
        <v>124</v>
      </c>
      <c r="D96" s="2" t="s">
        <v>216</v>
      </c>
      <c r="E96" s="2" t="s">
        <v>222</v>
      </c>
      <c r="F96" s="4">
        <v>20000000</v>
      </c>
      <c r="G96" s="3">
        <v>250</v>
      </c>
      <c r="H96" s="2" t="s">
        <v>221</v>
      </c>
      <c r="I96" s="3">
        <v>900</v>
      </c>
      <c r="J96" s="2" t="s">
        <v>221</v>
      </c>
      <c r="K96" s="2" t="s">
        <v>221</v>
      </c>
      <c r="L96" s="3">
        <v>650</v>
      </c>
      <c r="M96" s="4">
        <v>6</v>
      </c>
      <c r="N96" s="3">
        <v>300000000000</v>
      </c>
      <c r="O96" s="3">
        <v>250</v>
      </c>
      <c r="P96" s="3">
        <v>15000</v>
      </c>
    </row>
    <row r="97" spans="1:16" x14ac:dyDescent="0.25">
      <c r="A97" s="2" t="s">
        <v>125</v>
      </c>
      <c r="B97" s="2" t="s">
        <v>10</v>
      </c>
      <c r="C97" s="2" t="s">
        <v>56</v>
      </c>
      <c r="D97" s="2" t="s">
        <v>214</v>
      </c>
      <c r="E97" s="2" t="s">
        <v>220</v>
      </c>
      <c r="F97" s="4">
        <v>55000000</v>
      </c>
      <c r="G97" s="3">
        <v>130</v>
      </c>
      <c r="H97" s="2" t="s">
        <v>221</v>
      </c>
      <c r="I97" s="3">
        <v>360</v>
      </c>
      <c r="J97" s="2" t="s">
        <v>239</v>
      </c>
      <c r="K97" s="2" t="s">
        <v>221</v>
      </c>
      <c r="L97" s="3">
        <v>350</v>
      </c>
      <c r="M97" s="4">
        <v>6</v>
      </c>
      <c r="N97" s="3">
        <v>120000000000</v>
      </c>
      <c r="O97" s="3">
        <v>10</v>
      </c>
      <c r="P97" s="3">
        <v>2181.8182000000002</v>
      </c>
    </row>
    <row r="98" spans="1:16" x14ac:dyDescent="0.25">
      <c r="A98" s="2" t="s">
        <v>126</v>
      </c>
      <c r="B98" s="2" t="s">
        <v>13</v>
      </c>
      <c r="C98" s="2" t="s">
        <v>103</v>
      </c>
      <c r="D98" s="2" t="s">
        <v>214</v>
      </c>
      <c r="E98" s="2" t="s">
        <v>220</v>
      </c>
      <c r="F98" s="4">
        <v>130000</v>
      </c>
      <c r="G98" s="3">
        <v>120</v>
      </c>
      <c r="H98" s="2" t="s">
        <v>221</v>
      </c>
      <c r="I98" s="3">
        <v>320</v>
      </c>
      <c r="J98" s="2" t="s">
        <v>239</v>
      </c>
      <c r="K98" s="2" t="s">
        <v>239</v>
      </c>
      <c r="L98" s="3">
        <v>300</v>
      </c>
      <c r="M98" s="4">
        <v>4</v>
      </c>
      <c r="N98" s="3">
        <v>350000000</v>
      </c>
      <c r="O98" s="3">
        <v>20</v>
      </c>
      <c r="P98" s="3">
        <v>2692.3076999999998</v>
      </c>
    </row>
    <row r="99" spans="1:16" x14ac:dyDescent="0.25">
      <c r="A99" s="2" t="s">
        <v>127</v>
      </c>
      <c r="B99" s="2" t="s">
        <v>4</v>
      </c>
      <c r="C99" s="2" t="s">
        <v>67</v>
      </c>
      <c r="D99" s="2" t="s">
        <v>213</v>
      </c>
      <c r="E99" s="2" t="s">
        <v>219</v>
      </c>
      <c r="F99" s="4">
        <v>26000000</v>
      </c>
      <c r="G99" s="3">
        <v>0</v>
      </c>
      <c r="H99" s="2" t="s">
        <v>239</v>
      </c>
      <c r="I99" s="3">
        <v>0</v>
      </c>
      <c r="J99" s="2" t="s">
        <v>239</v>
      </c>
      <c r="K99" s="2" t="s">
        <v>239</v>
      </c>
      <c r="L99" s="3">
        <v>180</v>
      </c>
      <c r="M99" s="4">
        <v>8</v>
      </c>
      <c r="N99" s="3">
        <v>35000000000</v>
      </c>
      <c r="O99" s="3">
        <v>-180</v>
      </c>
      <c r="P99" s="3">
        <v>1346.1538</v>
      </c>
    </row>
    <row r="100" spans="1:16" x14ac:dyDescent="0.25">
      <c r="A100" s="2" t="s">
        <v>128</v>
      </c>
      <c r="B100" s="2" t="s">
        <v>4</v>
      </c>
      <c r="C100" s="2" t="s">
        <v>67</v>
      </c>
      <c r="D100" s="2" t="s">
        <v>215</v>
      </c>
      <c r="E100" s="2" t="s">
        <v>221</v>
      </c>
      <c r="F100" s="4">
        <v>52000000</v>
      </c>
      <c r="G100" s="3">
        <v>1700</v>
      </c>
      <c r="H100" s="2" t="s">
        <v>219</v>
      </c>
      <c r="I100" s="3">
        <v>4000</v>
      </c>
      <c r="J100" s="2" t="s">
        <v>219</v>
      </c>
      <c r="K100" s="2" t="s">
        <v>219</v>
      </c>
      <c r="L100" s="3">
        <v>2800</v>
      </c>
      <c r="M100" s="4">
        <v>3</v>
      </c>
      <c r="N100" s="3">
        <v>1850000000000</v>
      </c>
      <c r="O100" s="3">
        <v>1200</v>
      </c>
      <c r="P100" s="3">
        <v>35576.9231</v>
      </c>
    </row>
    <row r="101" spans="1:16" x14ac:dyDescent="0.25">
      <c r="A101" s="2" t="s">
        <v>129</v>
      </c>
      <c r="B101" s="2" t="s">
        <v>4</v>
      </c>
      <c r="C101" s="2" t="s">
        <v>25</v>
      </c>
      <c r="D101" s="2" t="s">
        <v>215</v>
      </c>
      <c r="E101" s="2" t="s">
        <v>221</v>
      </c>
      <c r="F101" s="4">
        <v>4300000</v>
      </c>
      <c r="G101" s="3">
        <v>1600</v>
      </c>
      <c r="H101" s="2" t="s">
        <v>219</v>
      </c>
      <c r="I101" s="3">
        <v>4800</v>
      </c>
      <c r="J101" s="2" t="s">
        <v>219</v>
      </c>
      <c r="K101" s="2" t="s">
        <v>220</v>
      </c>
      <c r="L101" s="3">
        <v>2500</v>
      </c>
      <c r="M101" s="4">
        <v>2</v>
      </c>
      <c r="N101" s="3">
        <v>230000000000</v>
      </c>
      <c r="O101" s="3">
        <v>2300</v>
      </c>
      <c r="P101" s="3">
        <v>53488.372100000001</v>
      </c>
    </row>
    <row r="102" spans="1:16" x14ac:dyDescent="0.25">
      <c r="A102" s="2" t="s">
        <v>130</v>
      </c>
      <c r="B102" s="2" t="s">
        <v>4</v>
      </c>
      <c r="C102" s="2" t="s">
        <v>124</v>
      </c>
      <c r="D102" s="2" t="s">
        <v>214</v>
      </c>
      <c r="E102" s="2" t="s">
        <v>220</v>
      </c>
      <c r="F102" s="4">
        <v>7200000</v>
      </c>
      <c r="G102" s="3">
        <v>200</v>
      </c>
      <c r="H102" s="2" t="s">
        <v>221</v>
      </c>
      <c r="I102" s="3">
        <v>480</v>
      </c>
      <c r="J102" s="2" t="s">
        <v>239</v>
      </c>
      <c r="K102" s="2" t="s">
        <v>239</v>
      </c>
      <c r="L102" s="3">
        <v>300</v>
      </c>
      <c r="M102" s="4">
        <v>6</v>
      </c>
      <c r="N102" s="3">
        <v>22000000000</v>
      </c>
      <c r="O102" s="3">
        <v>180</v>
      </c>
      <c r="P102" s="3">
        <v>3055.5556000000001</v>
      </c>
    </row>
    <row r="103" spans="1:16" x14ac:dyDescent="0.25">
      <c r="A103" s="2" t="s">
        <v>131</v>
      </c>
      <c r="B103" s="2" t="s">
        <v>4</v>
      </c>
      <c r="C103" s="2" t="s">
        <v>51</v>
      </c>
      <c r="D103" s="2" t="s">
        <v>214</v>
      </c>
      <c r="E103" s="2" t="s">
        <v>220</v>
      </c>
      <c r="F103" s="4">
        <v>7700000</v>
      </c>
      <c r="G103" s="3">
        <v>180</v>
      </c>
      <c r="H103" s="2" t="s">
        <v>221</v>
      </c>
      <c r="I103" s="3">
        <v>400</v>
      </c>
      <c r="J103" s="2" t="s">
        <v>239</v>
      </c>
      <c r="K103" s="2" t="s">
        <v>239</v>
      </c>
      <c r="L103" s="3">
        <v>320</v>
      </c>
      <c r="M103" s="4">
        <v>4</v>
      </c>
      <c r="N103" s="3">
        <v>27000000000</v>
      </c>
      <c r="O103" s="3">
        <v>80</v>
      </c>
      <c r="P103" s="3">
        <v>3506.4935</v>
      </c>
    </row>
    <row r="104" spans="1:16" x14ac:dyDescent="0.25">
      <c r="A104" s="2" t="s">
        <v>132</v>
      </c>
      <c r="B104" s="2" t="s">
        <v>7</v>
      </c>
      <c r="C104" s="2" t="s">
        <v>80</v>
      </c>
      <c r="D104" s="2" t="s">
        <v>215</v>
      </c>
      <c r="E104" s="2" t="s">
        <v>221</v>
      </c>
      <c r="F104" s="4">
        <v>1800000</v>
      </c>
      <c r="G104" s="3">
        <v>800</v>
      </c>
      <c r="H104" s="2" t="s">
        <v>220</v>
      </c>
      <c r="I104" s="3">
        <v>2000</v>
      </c>
      <c r="J104" s="2" t="s">
        <v>224</v>
      </c>
      <c r="K104" s="2" t="s">
        <v>224</v>
      </c>
      <c r="L104" s="3">
        <v>1400</v>
      </c>
      <c r="M104" s="4">
        <v>4</v>
      </c>
      <c r="N104" s="3">
        <v>60000000000</v>
      </c>
      <c r="O104" s="3">
        <v>600</v>
      </c>
      <c r="P104" s="3">
        <v>33333.333299999998</v>
      </c>
    </row>
    <row r="105" spans="1:16" x14ac:dyDescent="0.25">
      <c r="A105" s="2" t="s">
        <v>133</v>
      </c>
      <c r="B105" s="2" t="s">
        <v>4</v>
      </c>
      <c r="C105" s="2" t="s">
        <v>25</v>
      </c>
      <c r="D105" s="2" t="s">
        <v>214</v>
      </c>
      <c r="E105" s="2" t="s">
        <v>220</v>
      </c>
      <c r="F105" s="4">
        <v>5600000</v>
      </c>
      <c r="G105" s="3">
        <v>50</v>
      </c>
      <c r="H105" s="2" t="s">
        <v>239</v>
      </c>
      <c r="I105" s="3">
        <v>120</v>
      </c>
      <c r="J105" s="2" t="s">
        <v>239</v>
      </c>
      <c r="K105" s="2" t="s">
        <v>220</v>
      </c>
      <c r="L105" s="3">
        <v>800</v>
      </c>
      <c r="M105" s="4">
        <v>120</v>
      </c>
      <c r="N105" s="3">
        <v>25000000000</v>
      </c>
      <c r="O105" s="3">
        <v>-680</v>
      </c>
      <c r="P105" s="3">
        <v>4464.2857000000004</v>
      </c>
    </row>
    <row r="106" spans="1:16" x14ac:dyDescent="0.25">
      <c r="A106" s="2" t="s">
        <v>134</v>
      </c>
      <c r="B106" s="2" t="s">
        <v>10</v>
      </c>
      <c r="C106" s="2" t="s">
        <v>48</v>
      </c>
      <c r="D106" s="2" t="s">
        <v>213</v>
      </c>
      <c r="E106" s="2" t="s">
        <v>219</v>
      </c>
      <c r="F106" s="4">
        <v>2300000</v>
      </c>
      <c r="G106" s="3">
        <v>150</v>
      </c>
      <c r="H106" s="2" t="s">
        <v>221</v>
      </c>
      <c r="I106" s="3">
        <v>360</v>
      </c>
      <c r="J106" s="2" t="s">
        <v>239</v>
      </c>
      <c r="K106" s="2" t="s">
        <v>239</v>
      </c>
      <c r="L106" s="3">
        <v>300</v>
      </c>
      <c r="M106" s="4">
        <v>5</v>
      </c>
      <c r="N106" s="3">
        <v>5000000000</v>
      </c>
      <c r="O106" s="3">
        <v>60</v>
      </c>
      <c r="P106" s="3">
        <v>2173.913</v>
      </c>
    </row>
    <row r="107" spans="1:16" x14ac:dyDescent="0.25">
      <c r="A107" s="2" t="s">
        <v>135</v>
      </c>
      <c r="B107" s="2" t="s">
        <v>10</v>
      </c>
      <c r="C107" s="2" t="s">
        <v>42</v>
      </c>
      <c r="D107" s="2" t="s">
        <v>213</v>
      </c>
      <c r="E107" s="2" t="s">
        <v>219</v>
      </c>
      <c r="F107" s="4">
        <v>5400000</v>
      </c>
      <c r="G107" s="3">
        <v>90</v>
      </c>
      <c r="H107" s="2" t="s">
        <v>239</v>
      </c>
      <c r="I107" s="3">
        <v>210</v>
      </c>
      <c r="J107" s="2" t="s">
        <v>239</v>
      </c>
      <c r="K107" s="2" t="s">
        <v>239</v>
      </c>
      <c r="L107" s="3">
        <v>250</v>
      </c>
      <c r="M107" s="4">
        <v>6</v>
      </c>
      <c r="N107" s="3">
        <v>6000000000</v>
      </c>
      <c r="O107" s="3">
        <v>-40</v>
      </c>
      <c r="P107" s="3">
        <v>1111.1111000000001</v>
      </c>
    </row>
    <row r="108" spans="1:16" x14ac:dyDescent="0.25">
      <c r="A108" s="2" t="s">
        <v>136</v>
      </c>
      <c r="B108" s="2" t="s">
        <v>10</v>
      </c>
      <c r="C108" s="2" t="s">
        <v>11</v>
      </c>
      <c r="D108" s="2" t="s">
        <v>214</v>
      </c>
      <c r="E108" s="2" t="s">
        <v>220</v>
      </c>
      <c r="F108" s="4">
        <v>7200000</v>
      </c>
      <c r="G108" s="3">
        <v>300</v>
      </c>
      <c r="H108" s="2" t="s">
        <v>224</v>
      </c>
      <c r="I108" s="3">
        <v>720</v>
      </c>
      <c r="J108" s="2" t="s">
        <v>221</v>
      </c>
      <c r="K108" s="2" t="s">
        <v>221</v>
      </c>
      <c r="L108" s="3">
        <v>450</v>
      </c>
      <c r="M108" s="4">
        <v>5</v>
      </c>
      <c r="N108" s="3">
        <v>85000000000</v>
      </c>
      <c r="O108" s="3">
        <v>270</v>
      </c>
      <c r="P108" s="3">
        <v>11805.5556</v>
      </c>
    </row>
    <row r="109" spans="1:16" x14ac:dyDescent="0.25">
      <c r="A109" s="2" t="s">
        <v>137</v>
      </c>
      <c r="B109" s="2" t="s">
        <v>7</v>
      </c>
      <c r="C109" s="2" t="s">
        <v>30</v>
      </c>
      <c r="D109" s="2" t="s">
        <v>215</v>
      </c>
      <c r="E109" s="2" t="s">
        <v>221</v>
      </c>
      <c r="F109" s="4">
        <v>40000</v>
      </c>
      <c r="G109" s="3">
        <v>0</v>
      </c>
      <c r="H109" s="2" t="s">
        <v>219</v>
      </c>
      <c r="I109" s="3">
        <v>6500</v>
      </c>
      <c r="J109" s="2" t="s">
        <v>219</v>
      </c>
      <c r="K109" s="2" t="s">
        <v>219</v>
      </c>
      <c r="L109" s="3">
        <v>4200</v>
      </c>
      <c r="M109" s="4">
        <v>3</v>
      </c>
      <c r="N109" s="3">
        <v>6000000000</v>
      </c>
      <c r="O109" s="3">
        <v>2300</v>
      </c>
      <c r="P109" s="3">
        <v>150000</v>
      </c>
    </row>
    <row r="110" spans="1:16" x14ac:dyDescent="0.25">
      <c r="A110" s="2" t="s">
        <v>138</v>
      </c>
      <c r="B110" s="2" t="s">
        <v>7</v>
      </c>
      <c r="C110" s="2" t="s">
        <v>80</v>
      </c>
      <c r="D110" s="2" t="s">
        <v>215</v>
      </c>
      <c r="E110" s="2" t="s">
        <v>221</v>
      </c>
      <c r="F110" s="4">
        <v>2800000</v>
      </c>
      <c r="G110" s="3">
        <v>900</v>
      </c>
      <c r="H110" s="2" t="s">
        <v>220</v>
      </c>
      <c r="I110" s="3">
        <v>2100</v>
      </c>
      <c r="J110" s="2" t="s">
        <v>224</v>
      </c>
      <c r="K110" s="2" t="s">
        <v>224</v>
      </c>
      <c r="L110" s="3">
        <v>1500</v>
      </c>
      <c r="M110" s="4">
        <v>4</v>
      </c>
      <c r="N110" s="3">
        <v>90000000000</v>
      </c>
      <c r="O110" s="3">
        <v>600</v>
      </c>
      <c r="P110" s="3">
        <v>32142.857100000001</v>
      </c>
    </row>
    <row r="111" spans="1:16" x14ac:dyDescent="0.25">
      <c r="A111" s="2" t="s">
        <v>139</v>
      </c>
      <c r="B111" s="2" t="s">
        <v>7</v>
      </c>
      <c r="C111" s="2" t="s">
        <v>30</v>
      </c>
      <c r="D111" s="2" t="s">
        <v>215</v>
      </c>
      <c r="E111" s="2" t="s">
        <v>221</v>
      </c>
      <c r="F111" s="4">
        <v>660000</v>
      </c>
      <c r="G111" s="3">
        <v>2200</v>
      </c>
      <c r="H111" s="2" t="s">
        <v>219</v>
      </c>
      <c r="I111" s="3">
        <v>6000</v>
      </c>
      <c r="J111" s="2" t="s">
        <v>219</v>
      </c>
      <c r="K111" s="2" t="s">
        <v>219</v>
      </c>
      <c r="L111" s="3">
        <v>3500</v>
      </c>
      <c r="M111" s="4">
        <v>3</v>
      </c>
      <c r="N111" s="3">
        <v>125000000000</v>
      </c>
      <c r="O111" s="3">
        <v>2500</v>
      </c>
      <c r="P111" s="3">
        <v>189393.9394</v>
      </c>
    </row>
    <row r="112" spans="1:16" x14ac:dyDescent="0.25">
      <c r="A112" s="2" t="s">
        <v>140</v>
      </c>
      <c r="B112" s="2" t="s">
        <v>10</v>
      </c>
      <c r="C112" s="2" t="s">
        <v>56</v>
      </c>
      <c r="D112" s="2" t="s">
        <v>213</v>
      </c>
      <c r="E112" s="2" t="s">
        <v>219</v>
      </c>
      <c r="F112" s="4">
        <v>30000000</v>
      </c>
      <c r="G112" s="3">
        <v>60</v>
      </c>
      <c r="H112" s="2" t="s">
        <v>239</v>
      </c>
      <c r="I112" s="3">
        <v>180</v>
      </c>
      <c r="J112" s="2" t="s">
        <v>239</v>
      </c>
      <c r="K112" s="2" t="s">
        <v>239</v>
      </c>
      <c r="L112" s="3">
        <v>220</v>
      </c>
      <c r="M112" s="4">
        <v>7</v>
      </c>
      <c r="N112" s="3">
        <v>22000000000</v>
      </c>
      <c r="O112" s="3">
        <v>-40</v>
      </c>
      <c r="P112" s="3">
        <v>733.33330000000001</v>
      </c>
    </row>
    <row r="113" spans="1:16" x14ac:dyDescent="0.25">
      <c r="A113" s="2" t="s">
        <v>141</v>
      </c>
      <c r="B113" s="2" t="s">
        <v>10</v>
      </c>
      <c r="C113" s="2" t="s">
        <v>48</v>
      </c>
      <c r="D113" s="2" t="s">
        <v>213</v>
      </c>
      <c r="E113" s="2" t="s">
        <v>219</v>
      </c>
      <c r="F113" s="4">
        <v>21000000</v>
      </c>
      <c r="G113" s="3">
        <v>50</v>
      </c>
      <c r="H113" s="2" t="s">
        <v>239</v>
      </c>
      <c r="I113" s="3">
        <v>140</v>
      </c>
      <c r="J113" s="2" t="s">
        <v>239</v>
      </c>
      <c r="K113" s="2" t="s">
        <v>239</v>
      </c>
      <c r="L113" s="3">
        <v>200</v>
      </c>
      <c r="M113" s="4">
        <v>8</v>
      </c>
      <c r="N113" s="3">
        <v>18000000000</v>
      </c>
      <c r="O113" s="3">
        <v>-60</v>
      </c>
      <c r="P113" s="3">
        <v>857.14290000000005</v>
      </c>
    </row>
    <row r="114" spans="1:16" x14ac:dyDescent="0.25">
      <c r="A114" s="2" t="s">
        <v>142</v>
      </c>
      <c r="B114" s="2" t="s">
        <v>4</v>
      </c>
      <c r="C114" s="2" t="s">
        <v>51</v>
      </c>
      <c r="D114" s="2" t="s">
        <v>217</v>
      </c>
      <c r="E114" s="2" t="s">
        <v>222</v>
      </c>
      <c r="F114" s="4">
        <v>34000000</v>
      </c>
      <c r="G114" s="3">
        <v>400</v>
      </c>
      <c r="H114" s="2" t="s">
        <v>224</v>
      </c>
      <c r="I114" s="3">
        <v>1200</v>
      </c>
      <c r="J114" s="2" t="s">
        <v>224</v>
      </c>
      <c r="K114" s="2" t="s">
        <v>221</v>
      </c>
      <c r="L114" s="3">
        <v>900</v>
      </c>
      <c r="M114" s="4">
        <v>3</v>
      </c>
      <c r="N114" s="3">
        <v>440000000000</v>
      </c>
      <c r="O114" s="3">
        <v>300</v>
      </c>
      <c r="P114" s="3">
        <v>12941.1765</v>
      </c>
    </row>
    <row r="115" spans="1:16" x14ac:dyDescent="0.25">
      <c r="A115" s="2" t="s">
        <v>143</v>
      </c>
      <c r="B115" s="2" t="s">
        <v>4</v>
      </c>
      <c r="C115" s="2" t="s">
        <v>5</v>
      </c>
      <c r="D115" s="2" t="s">
        <v>216</v>
      </c>
      <c r="E115" s="2" t="s">
        <v>222</v>
      </c>
      <c r="F115" s="4">
        <v>520000</v>
      </c>
      <c r="G115" s="3">
        <v>500</v>
      </c>
      <c r="H115" s="2" t="s">
        <v>224</v>
      </c>
      <c r="I115" s="3">
        <v>1350</v>
      </c>
      <c r="J115" s="2" t="s">
        <v>221</v>
      </c>
      <c r="K115" s="2" t="s">
        <v>220</v>
      </c>
      <c r="L115" s="3">
        <v>1600</v>
      </c>
      <c r="M115" s="4">
        <v>4</v>
      </c>
      <c r="N115" s="3">
        <v>8000000000</v>
      </c>
      <c r="O115" s="3">
        <v>-250</v>
      </c>
      <c r="P115" s="3">
        <v>15384.615400000001</v>
      </c>
    </row>
    <row r="116" spans="1:16" x14ac:dyDescent="0.25">
      <c r="A116" s="2" t="s">
        <v>144</v>
      </c>
      <c r="B116" s="2" t="s">
        <v>10</v>
      </c>
      <c r="C116" s="2" t="s">
        <v>42</v>
      </c>
      <c r="D116" s="2" t="s">
        <v>213</v>
      </c>
      <c r="E116" s="2" t="s">
        <v>219</v>
      </c>
      <c r="F116" s="4">
        <v>24000000</v>
      </c>
      <c r="G116" s="3">
        <v>70</v>
      </c>
      <c r="H116" s="2" t="s">
        <v>239</v>
      </c>
      <c r="I116" s="3">
        <v>170</v>
      </c>
      <c r="J116" s="2" t="s">
        <v>239</v>
      </c>
      <c r="K116" s="2" t="s">
        <v>239</v>
      </c>
      <c r="L116" s="3">
        <v>220</v>
      </c>
      <c r="M116" s="4">
        <v>4</v>
      </c>
      <c r="N116" s="3">
        <v>32000000000</v>
      </c>
      <c r="O116" s="3">
        <v>-50</v>
      </c>
      <c r="P116" s="3">
        <v>1333.3333</v>
      </c>
    </row>
    <row r="117" spans="1:16" x14ac:dyDescent="0.25">
      <c r="A117" s="2" t="s">
        <v>145</v>
      </c>
      <c r="B117" s="2" t="s">
        <v>7</v>
      </c>
      <c r="C117" s="2" t="s">
        <v>8</v>
      </c>
      <c r="D117" s="2" t="s">
        <v>215</v>
      </c>
      <c r="E117" s="2" t="s">
        <v>221</v>
      </c>
      <c r="F117" s="4">
        <v>540000</v>
      </c>
      <c r="G117" s="3">
        <v>1000</v>
      </c>
      <c r="H117" s="2" t="s">
        <v>220</v>
      </c>
      <c r="I117" s="3">
        <v>2800</v>
      </c>
      <c r="J117" s="2" t="s">
        <v>220</v>
      </c>
      <c r="K117" s="2" t="s">
        <v>220</v>
      </c>
      <c r="L117" s="3">
        <v>2000</v>
      </c>
      <c r="M117" s="4">
        <v>3</v>
      </c>
      <c r="N117" s="3">
        <v>65000000000</v>
      </c>
      <c r="O117" s="3">
        <v>800</v>
      </c>
      <c r="P117" s="3">
        <v>120370.3704</v>
      </c>
    </row>
    <row r="118" spans="1:16" x14ac:dyDescent="0.25">
      <c r="A118" s="2" t="s">
        <v>146</v>
      </c>
      <c r="B118" s="2" t="s">
        <v>10</v>
      </c>
      <c r="C118" s="2" t="s">
        <v>56</v>
      </c>
      <c r="D118" s="2" t="s">
        <v>216</v>
      </c>
      <c r="E118" s="2" t="s">
        <v>222</v>
      </c>
      <c r="F118" s="4">
        <v>1300000</v>
      </c>
      <c r="G118" s="3">
        <v>450</v>
      </c>
      <c r="H118" s="2" t="s">
        <v>224</v>
      </c>
      <c r="I118" s="3">
        <v>1200</v>
      </c>
      <c r="J118" s="2" t="s">
        <v>221</v>
      </c>
      <c r="K118" s="2" t="s">
        <v>224</v>
      </c>
      <c r="L118" s="3">
        <v>1000</v>
      </c>
      <c r="M118" s="4">
        <v>4</v>
      </c>
      <c r="N118" s="3">
        <v>20000000000</v>
      </c>
      <c r="O118" s="3">
        <v>200</v>
      </c>
      <c r="P118" s="3">
        <v>15384.615400000001</v>
      </c>
    </row>
    <row r="119" spans="1:16" x14ac:dyDescent="0.25">
      <c r="A119" s="2" t="s">
        <v>147</v>
      </c>
      <c r="B119" s="2" t="s">
        <v>19</v>
      </c>
      <c r="C119" s="2" t="s">
        <v>40</v>
      </c>
      <c r="D119" s="2" t="s">
        <v>216</v>
      </c>
      <c r="E119" s="2" t="s">
        <v>222</v>
      </c>
      <c r="F119" s="4">
        <v>129000000</v>
      </c>
      <c r="G119" s="3">
        <v>400</v>
      </c>
      <c r="H119" s="2" t="s">
        <v>224</v>
      </c>
      <c r="I119" s="3">
        <v>1050</v>
      </c>
      <c r="J119" s="2" t="s">
        <v>221</v>
      </c>
      <c r="K119" s="2" t="s">
        <v>224</v>
      </c>
      <c r="L119" s="3">
        <v>900</v>
      </c>
      <c r="M119" s="4">
        <v>5</v>
      </c>
      <c r="N119" s="3">
        <v>2000000000000</v>
      </c>
      <c r="O119" s="3">
        <v>150</v>
      </c>
      <c r="P119" s="3">
        <v>15503.876</v>
      </c>
    </row>
    <row r="120" spans="1:16" x14ac:dyDescent="0.25">
      <c r="A120" s="2" t="s">
        <v>148</v>
      </c>
      <c r="B120" s="2" t="s">
        <v>7</v>
      </c>
      <c r="C120" s="2" t="s">
        <v>37</v>
      </c>
      <c r="D120" s="2" t="s">
        <v>214</v>
      </c>
      <c r="E120" s="2" t="s">
        <v>220</v>
      </c>
      <c r="F120" s="4">
        <v>2500000</v>
      </c>
      <c r="G120" s="3">
        <v>250</v>
      </c>
      <c r="H120" s="2" t="s">
        <v>221</v>
      </c>
      <c r="I120" s="3">
        <v>560</v>
      </c>
      <c r="J120" s="2" t="s">
        <v>239</v>
      </c>
      <c r="K120" s="2" t="s">
        <v>239</v>
      </c>
      <c r="L120" s="3">
        <v>400</v>
      </c>
      <c r="M120" s="4">
        <v>6</v>
      </c>
      <c r="N120" s="3">
        <v>38000000000</v>
      </c>
      <c r="O120" s="3">
        <v>160</v>
      </c>
      <c r="P120" s="3">
        <v>15200</v>
      </c>
    </row>
    <row r="121" spans="1:16" x14ac:dyDescent="0.25">
      <c r="A121" s="2" t="s">
        <v>149</v>
      </c>
      <c r="B121" s="2" t="s">
        <v>7</v>
      </c>
      <c r="C121" s="2" t="s">
        <v>30</v>
      </c>
      <c r="D121" s="2" t="s">
        <v>215</v>
      </c>
      <c r="E121" s="2" t="s">
        <v>221</v>
      </c>
      <c r="F121" s="4">
        <v>39000</v>
      </c>
      <c r="G121" s="3">
        <v>0</v>
      </c>
      <c r="H121" s="2" t="s">
        <v>219</v>
      </c>
      <c r="I121" s="3">
        <v>7500</v>
      </c>
      <c r="J121" s="2" t="s">
        <v>219</v>
      </c>
      <c r="K121" s="2" t="s">
        <v>219</v>
      </c>
      <c r="L121" s="3">
        <v>5000</v>
      </c>
      <c r="M121" s="4">
        <v>3</v>
      </c>
      <c r="N121" s="3">
        <v>8000000000</v>
      </c>
      <c r="O121" s="3">
        <v>2500</v>
      </c>
      <c r="P121" s="3">
        <v>205128.20509999999</v>
      </c>
    </row>
    <row r="122" spans="1:16" x14ac:dyDescent="0.25">
      <c r="A122" s="2" t="s">
        <v>150</v>
      </c>
      <c r="B122" s="2" t="s">
        <v>4</v>
      </c>
      <c r="C122" s="2" t="s">
        <v>67</v>
      </c>
      <c r="D122" s="2" t="s">
        <v>214</v>
      </c>
      <c r="E122" s="2" t="s">
        <v>220</v>
      </c>
      <c r="F122" s="4">
        <v>3500000</v>
      </c>
      <c r="G122" s="3">
        <v>250</v>
      </c>
      <c r="H122" s="2" t="s">
        <v>221</v>
      </c>
      <c r="I122" s="3">
        <v>640</v>
      </c>
      <c r="J122" s="2" t="s">
        <v>239</v>
      </c>
      <c r="K122" s="2" t="s">
        <v>221</v>
      </c>
      <c r="L122" s="3">
        <v>650</v>
      </c>
      <c r="M122" s="4">
        <v>5</v>
      </c>
      <c r="N122" s="3">
        <v>55000000000</v>
      </c>
      <c r="O122" s="3">
        <v>-10</v>
      </c>
      <c r="P122" s="3">
        <v>15714.2857</v>
      </c>
    </row>
    <row r="123" spans="1:16" x14ac:dyDescent="0.25">
      <c r="A123" s="2" t="s">
        <v>151</v>
      </c>
      <c r="B123" s="2" t="s">
        <v>10</v>
      </c>
      <c r="C123" s="2" t="s">
        <v>11</v>
      </c>
      <c r="D123" s="2" t="s">
        <v>214</v>
      </c>
      <c r="E123" s="2" t="s">
        <v>220</v>
      </c>
      <c r="F123" s="4">
        <v>37000000</v>
      </c>
      <c r="G123" s="3">
        <v>320</v>
      </c>
      <c r="H123" s="2" t="s">
        <v>224</v>
      </c>
      <c r="I123" s="3">
        <v>720</v>
      </c>
      <c r="J123" s="2" t="s">
        <v>221</v>
      </c>
      <c r="K123" s="2" t="s">
        <v>221</v>
      </c>
      <c r="L123" s="3">
        <v>550</v>
      </c>
      <c r="M123" s="4">
        <v>4</v>
      </c>
      <c r="N123" s="3">
        <v>155000000000</v>
      </c>
      <c r="O123" s="3">
        <v>170</v>
      </c>
      <c r="P123" s="3">
        <v>4189.1891999999998</v>
      </c>
    </row>
    <row r="124" spans="1:16" x14ac:dyDescent="0.25">
      <c r="A124" s="2" t="s">
        <v>152</v>
      </c>
      <c r="B124" s="2" t="s">
        <v>10</v>
      </c>
      <c r="C124" s="2" t="s">
        <v>48</v>
      </c>
      <c r="D124" s="2" t="s">
        <v>213</v>
      </c>
      <c r="E124" s="2" t="s">
        <v>219</v>
      </c>
      <c r="F124" s="4">
        <v>33000000</v>
      </c>
      <c r="G124" s="3">
        <v>60</v>
      </c>
      <c r="H124" s="2" t="s">
        <v>239</v>
      </c>
      <c r="I124" s="3">
        <v>180</v>
      </c>
      <c r="J124" s="2" t="s">
        <v>239</v>
      </c>
      <c r="K124" s="2" t="s">
        <v>239</v>
      </c>
      <c r="L124" s="3">
        <v>250</v>
      </c>
      <c r="M124" s="4">
        <v>8</v>
      </c>
      <c r="N124" s="3">
        <v>22000000000</v>
      </c>
      <c r="O124" s="3">
        <v>-70</v>
      </c>
      <c r="P124" s="3">
        <v>666.66669999999999</v>
      </c>
    </row>
    <row r="125" spans="1:16" x14ac:dyDescent="0.25">
      <c r="A125" s="2" t="s">
        <v>153</v>
      </c>
      <c r="B125" s="2" t="s">
        <v>10</v>
      </c>
      <c r="C125" s="2" t="s">
        <v>48</v>
      </c>
      <c r="D125" s="2" t="s">
        <v>214</v>
      </c>
      <c r="E125" s="2" t="s">
        <v>220</v>
      </c>
      <c r="F125" s="4">
        <v>2700000</v>
      </c>
      <c r="G125" s="3">
        <v>200</v>
      </c>
      <c r="H125" s="2" t="s">
        <v>221</v>
      </c>
      <c r="I125" s="3">
        <v>640</v>
      </c>
      <c r="J125" s="2" t="s">
        <v>239</v>
      </c>
      <c r="K125" s="2" t="s">
        <v>221</v>
      </c>
      <c r="L125" s="3">
        <v>650</v>
      </c>
      <c r="M125" s="4">
        <v>5</v>
      </c>
      <c r="N125" s="3">
        <v>16000000000</v>
      </c>
      <c r="O125" s="3">
        <v>-10</v>
      </c>
      <c r="P125" s="3">
        <v>5925.9259000000002</v>
      </c>
    </row>
    <row r="126" spans="1:16" x14ac:dyDescent="0.25">
      <c r="A126" s="2" t="s">
        <v>154</v>
      </c>
      <c r="B126" s="2" t="s">
        <v>4</v>
      </c>
      <c r="C126" s="2" t="s">
        <v>5</v>
      </c>
      <c r="D126" s="2" t="s">
        <v>214</v>
      </c>
      <c r="E126" s="2" t="s">
        <v>220</v>
      </c>
      <c r="F126" s="4">
        <v>31000000</v>
      </c>
      <c r="G126" s="3">
        <v>120</v>
      </c>
      <c r="H126" s="2" t="s">
        <v>221</v>
      </c>
      <c r="I126" s="3">
        <v>320</v>
      </c>
      <c r="J126" s="2" t="s">
        <v>239</v>
      </c>
      <c r="K126" s="2" t="s">
        <v>239</v>
      </c>
      <c r="L126" s="3">
        <v>280</v>
      </c>
      <c r="M126" s="4">
        <v>6</v>
      </c>
      <c r="N126" s="3">
        <v>48000000000</v>
      </c>
      <c r="O126" s="3">
        <v>40</v>
      </c>
      <c r="P126" s="3">
        <v>1548.3870999999999</v>
      </c>
    </row>
    <row r="127" spans="1:16" x14ac:dyDescent="0.25">
      <c r="A127" s="2" t="s">
        <v>155</v>
      </c>
      <c r="B127" s="2" t="s">
        <v>7</v>
      </c>
      <c r="C127" s="2" t="s">
        <v>30</v>
      </c>
      <c r="D127" s="2" t="s">
        <v>215</v>
      </c>
      <c r="E127" s="2" t="s">
        <v>221</v>
      </c>
      <c r="F127" s="4">
        <v>17900000</v>
      </c>
      <c r="G127" s="3">
        <v>2000</v>
      </c>
      <c r="H127" s="2" t="s">
        <v>219</v>
      </c>
      <c r="I127" s="3">
        <v>4800</v>
      </c>
      <c r="J127" s="2" t="s">
        <v>219</v>
      </c>
      <c r="K127" s="2" t="s">
        <v>219</v>
      </c>
      <c r="L127" s="3">
        <v>3000</v>
      </c>
      <c r="M127" s="4">
        <v>3</v>
      </c>
      <c r="N127" s="3">
        <v>1120000000000</v>
      </c>
      <c r="O127" s="3">
        <v>1800</v>
      </c>
      <c r="P127" s="3">
        <v>62569.832399999999</v>
      </c>
    </row>
    <row r="128" spans="1:16" x14ac:dyDescent="0.25">
      <c r="A128" s="2" t="s">
        <v>156</v>
      </c>
      <c r="B128" s="2" t="s">
        <v>13</v>
      </c>
      <c r="C128" s="2" t="s">
        <v>28</v>
      </c>
      <c r="D128" s="2" t="s">
        <v>215</v>
      </c>
      <c r="E128" s="2" t="s">
        <v>221</v>
      </c>
      <c r="F128" s="4">
        <v>5200000</v>
      </c>
      <c r="G128" s="3">
        <v>2200</v>
      </c>
      <c r="H128" s="2" t="s">
        <v>219</v>
      </c>
      <c r="I128" s="3">
        <v>4700</v>
      </c>
      <c r="J128" s="2" t="s">
        <v>219</v>
      </c>
      <c r="K128" s="2" t="s">
        <v>219</v>
      </c>
      <c r="L128" s="3">
        <v>3000</v>
      </c>
      <c r="M128" s="4">
        <v>3</v>
      </c>
      <c r="N128" s="3">
        <v>270000000000</v>
      </c>
      <c r="O128" s="3">
        <v>1700</v>
      </c>
      <c r="P128" s="3">
        <v>51923.0769</v>
      </c>
    </row>
    <row r="129" spans="1:16" x14ac:dyDescent="0.25">
      <c r="A129" s="2" t="s">
        <v>157</v>
      </c>
      <c r="B129" s="2" t="s">
        <v>19</v>
      </c>
      <c r="C129" s="2" t="s">
        <v>40</v>
      </c>
      <c r="D129" s="2" t="s">
        <v>214</v>
      </c>
      <c r="E129" s="2" t="s">
        <v>220</v>
      </c>
      <c r="F129" s="4">
        <v>6800000</v>
      </c>
      <c r="G129" s="3">
        <v>200</v>
      </c>
      <c r="H129" s="2" t="s">
        <v>221</v>
      </c>
      <c r="I129" s="3">
        <v>480</v>
      </c>
      <c r="J129" s="2" t="s">
        <v>239</v>
      </c>
      <c r="K129" s="2" t="s">
        <v>239</v>
      </c>
      <c r="L129" s="3">
        <v>350</v>
      </c>
      <c r="M129" s="4">
        <v>5</v>
      </c>
      <c r="N129" s="3">
        <v>27000000000</v>
      </c>
      <c r="O129" s="3">
        <v>130</v>
      </c>
      <c r="P129" s="3">
        <v>3970.5882000000001</v>
      </c>
    </row>
    <row r="130" spans="1:16" x14ac:dyDescent="0.25">
      <c r="A130" s="2" t="s">
        <v>158</v>
      </c>
      <c r="B130" s="2" t="s">
        <v>10</v>
      </c>
      <c r="C130" s="2" t="s">
        <v>42</v>
      </c>
      <c r="D130" s="2" t="s">
        <v>213</v>
      </c>
      <c r="E130" s="2" t="s">
        <v>219</v>
      </c>
      <c r="F130" s="4">
        <v>27000000</v>
      </c>
      <c r="G130" s="3">
        <v>50</v>
      </c>
      <c r="H130" s="2" t="s">
        <v>239</v>
      </c>
      <c r="I130" s="3">
        <v>130</v>
      </c>
      <c r="J130" s="2" t="s">
        <v>239</v>
      </c>
      <c r="K130" s="2" t="s">
        <v>239</v>
      </c>
      <c r="L130" s="3">
        <v>200</v>
      </c>
      <c r="M130" s="4">
        <v>4</v>
      </c>
      <c r="N130" s="3">
        <v>18000000000</v>
      </c>
      <c r="O130" s="3">
        <v>-70</v>
      </c>
      <c r="P130" s="3">
        <v>666.66669999999999</v>
      </c>
    </row>
    <row r="131" spans="1:16" x14ac:dyDescent="0.25">
      <c r="A131" s="2" t="s">
        <v>159</v>
      </c>
      <c r="B131" s="2" t="s">
        <v>10</v>
      </c>
      <c r="C131" s="2" t="s">
        <v>42</v>
      </c>
      <c r="D131" s="2" t="s">
        <v>214</v>
      </c>
      <c r="E131" s="2" t="s">
        <v>220</v>
      </c>
      <c r="F131" s="4">
        <v>229000000</v>
      </c>
      <c r="G131" s="3">
        <v>50</v>
      </c>
      <c r="H131" s="2" t="s">
        <v>239</v>
      </c>
      <c r="I131" s="3">
        <v>220</v>
      </c>
      <c r="J131" s="2" t="s">
        <v>239</v>
      </c>
      <c r="K131" s="2" t="s">
        <v>221</v>
      </c>
      <c r="L131" s="3">
        <v>450</v>
      </c>
      <c r="M131" s="4">
        <v>24</v>
      </c>
      <c r="N131" s="3">
        <v>560000000000</v>
      </c>
      <c r="O131" s="3">
        <v>-230</v>
      </c>
      <c r="P131" s="3">
        <v>2445.4148</v>
      </c>
    </row>
    <row r="132" spans="1:16" x14ac:dyDescent="0.25">
      <c r="A132" s="2" t="s">
        <v>160</v>
      </c>
      <c r="B132" s="2" t="s">
        <v>7</v>
      </c>
      <c r="C132" s="2" t="s">
        <v>80</v>
      </c>
      <c r="D132" s="2" t="s">
        <v>215</v>
      </c>
      <c r="E132" s="2" t="s">
        <v>221</v>
      </c>
      <c r="F132" s="4">
        <v>5500000</v>
      </c>
      <c r="G132" s="3">
        <v>0</v>
      </c>
      <c r="H132" s="2" t="s">
        <v>219</v>
      </c>
      <c r="I132" s="3">
        <v>5600</v>
      </c>
      <c r="J132" s="2" t="s">
        <v>219</v>
      </c>
      <c r="K132" s="2" t="s">
        <v>219</v>
      </c>
      <c r="L132" s="3">
        <v>3500</v>
      </c>
      <c r="M132" s="4">
        <v>3</v>
      </c>
      <c r="N132" s="3">
        <v>620000000000</v>
      </c>
      <c r="O132" s="3">
        <v>2100</v>
      </c>
      <c r="P132" s="3">
        <v>112727.2727</v>
      </c>
    </row>
    <row r="133" spans="1:16" x14ac:dyDescent="0.25">
      <c r="A133" s="2" t="s">
        <v>161</v>
      </c>
      <c r="B133" s="2" t="s">
        <v>4</v>
      </c>
      <c r="C133" s="2" t="s">
        <v>25</v>
      </c>
      <c r="D133" s="2" t="s">
        <v>215</v>
      </c>
      <c r="E133" s="2" t="s">
        <v>221</v>
      </c>
      <c r="F133" s="4">
        <v>5000000</v>
      </c>
      <c r="G133" s="3">
        <v>1100</v>
      </c>
      <c r="H133" s="2" t="s">
        <v>220</v>
      </c>
      <c r="I133" s="3">
        <v>3200</v>
      </c>
      <c r="J133" s="2" t="s">
        <v>220</v>
      </c>
      <c r="K133" s="2" t="s">
        <v>224</v>
      </c>
      <c r="L133" s="3">
        <v>2000</v>
      </c>
      <c r="M133" s="4">
        <v>2</v>
      </c>
      <c r="N133" s="3">
        <v>130000000000</v>
      </c>
      <c r="O133" s="3">
        <v>1200</v>
      </c>
      <c r="P133" s="3">
        <v>26000</v>
      </c>
    </row>
    <row r="134" spans="1:16" x14ac:dyDescent="0.25">
      <c r="A134" s="2" t="s">
        <v>162</v>
      </c>
      <c r="B134" s="2" t="s">
        <v>4</v>
      </c>
      <c r="C134" s="2" t="s">
        <v>5</v>
      </c>
      <c r="D134" s="2" t="s">
        <v>214</v>
      </c>
      <c r="E134" s="2" t="s">
        <v>220</v>
      </c>
      <c r="F134" s="4">
        <v>242000000</v>
      </c>
      <c r="G134" s="3">
        <v>150</v>
      </c>
      <c r="H134" s="2" t="s">
        <v>221</v>
      </c>
      <c r="I134" s="3">
        <v>360</v>
      </c>
      <c r="J134" s="2" t="s">
        <v>239</v>
      </c>
      <c r="K134" s="2" t="s">
        <v>239</v>
      </c>
      <c r="L134" s="3">
        <v>250</v>
      </c>
      <c r="M134" s="4">
        <v>30</v>
      </c>
      <c r="N134" s="3">
        <v>450000000000</v>
      </c>
      <c r="O134" s="3">
        <v>110</v>
      </c>
      <c r="P134" s="3">
        <v>1859.5041000000001</v>
      </c>
    </row>
    <row r="135" spans="1:16" x14ac:dyDescent="0.25">
      <c r="A135" s="2" t="s">
        <v>163</v>
      </c>
      <c r="B135" s="2" t="s">
        <v>19</v>
      </c>
      <c r="C135" s="2" t="s">
        <v>40</v>
      </c>
      <c r="D135" s="2" t="s">
        <v>216</v>
      </c>
      <c r="E135" s="2" t="s">
        <v>222</v>
      </c>
      <c r="F135" s="4">
        <v>4400000</v>
      </c>
      <c r="G135" s="3">
        <v>700</v>
      </c>
      <c r="H135" s="2" t="s">
        <v>220</v>
      </c>
      <c r="I135" s="3">
        <v>1600</v>
      </c>
      <c r="J135" s="2" t="s">
        <v>224</v>
      </c>
      <c r="K135" s="2" t="s">
        <v>224</v>
      </c>
      <c r="L135" s="3">
        <v>1200</v>
      </c>
      <c r="M135" s="4">
        <v>3</v>
      </c>
      <c r="N135" s="3">
        <v>95000000000</v>
      </c>
      <c r="O135" s="3">
        <v>400</v>
      </c>
      <c r="P135" s="3">
        <v>21590.909100000001</v>
      </c>
    </row>
    <row r="136" spans="1:16" x14ac:dyDescent="0.25">
      <c r="A136" s="2" t="s">
        <v>164</v>
      </c>
      <c r="B136" s="2" t="s">
        <v>13</v>
      </c>
      <c r="C136" s="2" t="s">
        <v>93</v>
      </c>
      <c r="D136" s="2" t="s">
        <v>213</v>
      </c>
      <c r="E136" s="2" t="s">
        <v>219</v>
      </c>
      <c r="F136" s="4">
        <v>10000000</v>
      </c>
      <c r="G136" s="3">
        <v>100</v>
      </c>
      <c r="H136" s="2" t="s">
        <v>239</v>
      </c>
      <c r="I136" s="3">
        <v>260</v>
      </c>
      <c r="J136" s="2" t="s">
        <v>239</v>
      </c>
      <c r="K136" s="2" t="s">
        <v>239</v>
      </c>
      <c r="L136" s="3">
        <v>450</v>
      </c>
      <c r="M136" s="4">
        <v>5</v>
      </c>
      <c r="N136" s="3">
        <v>32000000000</v>
      </c>
      <c r="O136" s="3">
        <v>-190</v>
      </c>
      <c r="P136" s="3">
        <v>3200</v>
      </c>
    </row>
    <row r="137" spans="1:16" x14ac:dyDescent="0.25">
      <c r="A137" s="2" t="s">
        <v>165</v>
      </c>
      <c r="B137" s="2" t="s">
        <v>23</v>
      </c>
      <c r="C137" s="2" t="s">
        <v>23</v>
      </c>
      <c r="D137" s="2" t="s">
        <v>214</v>
      </c>
      <c r="E137" s="2" t="s">
        <v>220</v>
      </c>
      <c r="F137" s="4">
        <v>7200000</v>
      </c>
      <c r="G137" s="3">
        <v>300</v>
      </c>
      <c r="H137" s="2" t="s">
        <v>224</v>
      </c>
      <c r="I137" s="3">
        <v>720</v>
      </c>
      <c r="J137" s="2" t="s">
        <v>221</v>
      </c>
      <c r="K137" s="2" t="s">
        <v>221</v>
      </c>
      <c r="L137" s="3">
        <v>550</v>
      </c>
      <c r="M137" s="4">
        <v>4</v>
      </c>
      <c r="N137" s="3">
        <v>50000000000</v>
      </c>
      <c r="O137" s="3">
        <v>170</v>
      </c>
      <c r="P137" s="3">
        <v>6944.4444000000003</v>
      </c>
    </row>
    <row r="138" spans="1:16" x14ac:dyDescent="0.25">
      <c r="A138" s="2" t="s">
        <v>166</v>
      </c>
      <c r="B138" s="2" t="s">
        <v>23</v>
      </c>
      <c r="C138" s="2" t="s">
        <v>23</v>
      </c>
      <c r="D138" s="2" t="s">
        <v>216</v>
      </c>
      <c r="E138" s="2" t="s">
        <v>222</v>
      </c>
      <c r="F138" s="4">
        <v>34000000</v>
      </c>
      <c r="G138" s="3">
        <v>450</v>
      </c>
      <c r="H138" s="2" t="s">
        <v>224</v>
      </c>
      <c r="I138" s="3">
        <v>1050</v>
      </c>
      <c r="J138" s="2" t="s">
        <v>221</v>
      </c>
      <c r="K138" s="2" t="s">
        <v>224</v>
      </c>
      <c r="L138" s="3">
        <v>750</v>
      </c>
      <c r="M138" s="4">
        <v>4</v>
      </c>
      <c r="N138" s="3">
        <v>250000000000</v>
      </c>
      <c r="O138" s="3">
        <v>300</v>
      </c>
      <c r="P138" s="3">
        <v>7352.9412000000002</v>
      </c>
    </row>
    <row r="139" spans="1:16" x14ac:dyDescent="0.25">
      <c r="A139" s="2" t="s">
        <v>167</v>
      </c>
      <c r="B139" s="2" t="s">
        <v>4</v>
      </c>
      <c r="C139" s="2" t="s">
        <v>51</v>
      </c>
      <c r="D139" s="2" t="s">
        <v>214</v>
      </c>
      <c r="E139" s="2" t="s">
        <v>220</v>
      </c>
      <c r="F139" s="4">
        <v>117000000</v>
      </c>
      <c r="G139" s="3">
        <v>180</v>
      </c>
      <c r="H139" s="2" t="s">
        <v>221</v>
      </c>
      <c r="I139" s="3">
        <v>560</v>
      </c>
      <c r="J139" s="2" t="s">
        <v>239</v>
      </c>
      <c r="K139" s="2" t="s">
        <v>221</v>
      </c>
      <c r="L139" s="3">
        <v>550</v>
      </c>
      <c r="M139" s="4">
        <v>5</v>
      </c>
      <c r="N139" s="3">
        <v>480000000000</v>
      </c>
      <c r="O139" s="3">
        <v>10</v>
      </c>
      <c r="P139" s="3">
        <v>4102.5640999999996</v>
      </c>
    </row>
    <row r="140" spans="1:16" x14ac:dyDescent="0.25">
      <c r="A140" s="2" t="s">
        <v>168</v>
      </c>
      <c r="B140" s="2" t="s">
        <v>7</v>
      </c>
      <c r="C140" s="2" t="s">
        <v>37</v>
      </c>
      <c r="D140" s="2" t="s">
        <v>215</v>
      </c>
      <c r="E140" s="2" t="s">
        <v>221</v>
      </c>
      <c r="F140" s="4">
        <v>37000000</v>
      </c>
      <c r="G140" s="3">
        <v>950</v>
      </c>
      <c r="H140" s="2" t="s">
        <v>220</v>
      </c>
      <c r="I140" s="3">
        <v>2300</v>
      </c>
      <c r="J140" s="2" t="s">
        <v>224</v>
      </c>
      <c r="K140" s="2" t="s">
        <v>224</v>
      </c>
      <c r="L140" s="3">
        <v>1600</v>
      </c>
      <c r="M140" s="4">
        <v>4</v>
      </c>
      <c r="N140" s="3">
        <v>820000000000</v>
      </c>
      <c r="O140" s="3">
        <v>700</v>
      </c>
      <c r="P140" s="3">
        <v>22162.162199999999</v>
      </c>
    </row>
    <row r="141" spans="1:16" x14ac:dyDescent="0.25">
      <c r="A141" s="2" t="s">
        <v>169</v>
      </c>
      <c r="B141" s="2" t="s">
        <v>7</v>
      </c>
      <c r="C141" s="2" t="s">
        <v>8</v>
      </c>
      <c r="D141" s="2" t="s">
        <v>215</v>
      </c>
      <c r="E141" s="2" t="s">
        <v>221</v>
      </c>
      <c r="F141" s="4">
        <v>10200000</v>
      </c>
      <c r="G141" s="3">
        <v>1000</v>
      </c>
      <c r="H141" s="2" t="s">
        <v>220</v>
      </c>
      <c r="I141" s="3">
        <v>2200</v>
      </c>
      <c r="J141" s="2" t="s">
        <v>224</v>
      </c>
      <c r="K141" s="2" t="s">
        <v>220</v>
      </c>
      <c r="L141" s="3">
        <v>1900</v>
      </c>
      <c r="M141" s="4">
        <v>3</v>
      </c>
      <c r="N141" s="3">
        <v>310000000000</v>
      </c>
      <c r="O141" s="3">
        <v>300</v>
      </c>
      <c r="P141" s="3">
        <v>30392.156900000002</v>
      </c>
    </row>
    <row r="142" spans="1:16" x14ac:dyDescent="0.25">
      <c r="A142" s="2" t="s">
        <v>170</v>
      </c>
      <c r="B142" s="2" t="s">
        <v>4</v>
      </c>
      <c r="C142" s="2" t="s">
        <v>25</v>
      </c>
      <c r="D142" s="2" t="s">
        <v>215</v>
      </c>
      <c r="E142" s="2" t="s">
        <v>221</v>
      </c>
      <c r="F142" s="4">
        <v>3000000</v>
      </c>
      <c r="G142" s="3">
        <v>1600</v>
      </c>
      <c r="H142" s="2" t="s">
        <v>219</v>
      </c>
      <c r="I142" s="3">
        <v>5000</v>
      </c>
      <c r="J142" s="2" t="s">
        <v>219</v>
      </c>
      <c r="K142" s="2" t="s">
        <v>220</v>
      </c>
      <c r="L142" s="3">
        <v>2800</v>
      </c>
      <c r="M142" s="4">
        <v>2</v>
      </c>
      <c r="N142" s="3">
        <v>250000000000</v>
      </c>
      <c r="O142" s="3">
        <v>2200</v>
      </c>
      <c r="P142" s="3">
        <v>83333.333299999998</v>
      </c>
    </row>
    <row r="143" spans="1:16" x14ac:dyDescent="0.25">
      <c r="A143" s="2" t="s">
        <v>171</v>
      </c>
      <c r="B143" s="2" t="s">
        <v>7</v>
      </c>
      <c r="C143" s="2" t="s">
        <v>37</v>
      </c>
      <c r="D143" s="2" t="s">
        <v>215</v>
      </c>
      <c r="E143" s="2" t="s">
        <v>221</v>
      </c>
      <c r="F143" s="4">
        <v>19000000</v>
      </c>
      <c r="G143" s="3">
        <v>900</v>
      </c>
      <c r="H143" s="2" t="s">
        <v>220</v>
      </c>
      <c r="I143" s="3">
        <v>2000</v>
      </c>
      <c r="J143" s="2" t="s">
        <v>224</v>
      </c>
      <c r="K143" s="2" t="s">
        <v>224</v>
      </c>
      <c r="L143" s="3">
        <v>1400</v>
      </c>
      <c r="M143" s="4">
        <v>4</v>
      </c>
      <c r="N143" s="3">
        <v>360000000000</v>
      </c>
      <c r="O143" s="3">
        <v>600</v>
      </c>
      <c r="P143" s="3">
        <v>18947.368399999999</v>
      </c>
    </row>
    <row r="144" spans="1:16" x14ac:dyDescent="0.25">
      <c r="A144" s="2" t="s">
        <v>172</v>
      </c>
      <c r="B144" s="2" t="s">
        <v>7</v>
      </c>
      <c r="C144" s="2" t="s">
        <v>37</v>
      </c>
      <c r="D144" s="2" t="s">
        <v>217</v>
      </c>
      <c r="E144" s="2" t="s">
        <v>222</v>
      </c>
      <c r="F144" s="4">
        <v>144000000</v>
      </c>
      <c r="G144" s="3">
        <v>300</v>
      </c>
      <c r="H144" s="2" t="s">
        <v>224</v>
      </c>
      <c r="I144" s="3">
        <v>960</v>
      </c>
      <c r="J144" s="2" t="s">
        <v>221</v>
      </c>
      <c r="K144" s="2" t="s">
        <v>221</v>
      </c>
      <c r="L144" s="3">
        <v>800</v>
      </c>
      <c r="M144" s="4">
        <v>6</v>
      </c>
      <c r="N144" s="3">
        <v>2200000000000</v>
      </c>
      <c r="O144" s="3">
        <v>160</v>
      </c>
      <c r="P144" s="3">
        <v>15277.7778</v>
      </c>
    </row>
    <row r="145" spans="1:16" x14ac:dyDescent="0.25">
      <c r="A145" s="2" t="s">
        <v>173</v>
      </c>
      <c r="B145" s="2" t="s">
        <v>10</v>
      </c>
      <c r="C145" s="2" t="s">
        <v>56</v>
      </c>
      <c r="D145" s="2" t="s">
        <v>213</v>
      </c>
      <c r="E145" s="2" t="s">
        <v>219</v>
      </c>
      <c r="F145" s="4">
        <v>14000000</v>
      </c>
      <c r="G145" s="3">
        <v>80</v>
      </c>
      <c r="H145" s="2" t="s">
        <v>239</v>
      </c>
      <c r="I145" s="3">
        <v>220</v>
      </c>
      <c r="J145" s="2" t="s">
        <v>239</v>
      </c>
      <c r="K145" s="2" t="s">
        <v>239</v>
      </c>
      <c r="L145" s="3">
        <v>280</v>
      </c>
      <c r="M145" s="4">
        <v>6</v>
      </c>
      <c r="N145" s="3">
        <v>16000000000</v>
      </c>
      <c r="O145" s="3">
        <v>-60</v>
      </c>
      <c r="P145" s="3">
        <v>1142.8570999999999</v>
      </c>
    </row>
    <row r="146" spans="1:16" x14ac:dyDescent="0.25">
      <c r="A146" s="2" t="s">
        <v>174</v>
      </c>
      <c r="B146" s="2" t="s">
        <v>4</v>
      </c>
      <c r="C146" s="2" t="s">
        <v>25</v>
      </c>
      <c r="D146" s="2" t="s">
        <v>215</v>
      </c>
      <c r="E146" s="2" t="s">
        <v>221</v>
      </c>
      <c r="F146" s="4">
        <v>36000000</v>
      </c>
      <c r="G146" s="3">
        <v>1500</v>
      </c>
      <c r="H146" s="2" t="s">
        <v>219</v>
      </c>
      <c r="I146" s="3">
        <v>4500</v>
      </c>
      <c r="J146" s="2" t="s">
        <v>219</v>
      </c>
      <c r="K146" s="2" t="s">
        <v>224</v>
      </c>
      <c r="L146" s="3">
        <v>2500</v>
      </c>
      <c r="M146" s="4">
        <v>2</v>
      </c>
      <c r="N146" s="3">
        <v>1150000000000</v>
      </c>
      <c r="O146" s="3">
        <v>2000</v>
      </c>
      <c r="P146" s="3">
        <v>31944.4444</v>
      </c>
    </row>
    <row r="147" spans="1:16" x14ac:dyDescent="0.25">
      <c r="A147" s="2" t="s">
        <v>175</v>
      </c>
      <c r="B147" s="2" t="s">
        <v>10</v>
      </c>
      <c r="C147" s="2" t="s">
        <v>42</v>
      </c>
      <c r="D147" s="2" t="s">
        <v>213</v>
      </c>
      <c r="E147" s="2" t="s">
        <v>219</v>
      </c>
      <c r="F147" s="4">
        <v>18000000</v>
      </c>
      <c r="G147" s="3">
        <v>90</v>
      </c>
      <c r="H147" s="2" t="s">
        <v>239</v>
      </c>
      <c r="I147" s="3">
        <v>250</v>
      </c>
      <c r="J147" s="2" t="s">
        <v>239</v>
      </c>
      <c r="K147" s="2" t="s">
        <v>221</v>
      </c>
      <c r="L147" s="3">
        <v>420</v>
      </c>
      <c r="M147" s="4">
        <v>4</v>
      </c>
      <c r="N147" s="3">
        <v>38000000000</v>
      </c>
      <c r="O147" s="3">
        <v>-170</v>
      </c>
      <c r="P147" s="3">
        <v>2111.1111000000001</v>
      </c>
    </row>
    <row r="148" spans="1:16" x14ac:dyDescent="0.25">
      <c r="A148" s="2" t="s">
        <v>176</v>
      </c>
      <c r="B148" s="2" t="s">
        <v>7</v>
      </c>
      <c r="C148" s="2" t="s">
        <v>8</v>
      </c>
      <c r="D148" s="2" t="s">
        <v>214</v>
      </c>
      <c r="E148" s="2" t="s">
        <v>220</v>
      </c>
      <c r="F148" s="4">
        <v>6700000</v>
      </c>
      <c r="G148" s="3">
        <v>500</v>
      </c>
      <c r="H148" s="2" t="s">
        <v>224</v>
      </c>
      <c r="I148" s="3">
        <v>1000</v>
      </c>
      <c r="J148" s="2" t="s">
        <v>221</v>
      </c>
      <c r="K148" s="2" t="s">
        <v>221</v>
      </c>
      <c r="L148" s="3">
        <v>800</v>
      </c>
      <c r="M148" s="4">
        <v>5</v>
      </c>
      <c r="N148" s="3">
        <v>90000000000</v>
      </c>
      <c r="O148" s="3">
        <v>200</v>
      </c>
      <c r="P148" s="3">
        <v>13432.835800000001</v>
      </c>
    </row>
    <row r="149" spans="1:16" x14ac:dyDescent="0.25">
      <c r="A149" s="2" t="s">
        <v>177</v>
      </c>
      <c r="B149" s="2" t="s">
        <v>10</v>
      </c>
      <c r="C149" s="2" t="s">
        <v>42</v>
      </c>
      <c r="D149" s="2" t="s">
        <v>213</v>
      </c>
      <c r="E149" s="2" t="s">
        <v>219</v>
      </c>
      <c r="F149" s="4">
        <v>8600000</v>
      </c>
      <c r="G149" s="3">
        <v>60</v>
      </c>
      <c r="H149" s="2" t="s">
        <v>239</v>
      </c>
      <c r="I149" s="3">
        <v>170</v>
      </c>
      <c r="J149" s="2" t="s">
        <v>239</v>
      </c>
      <c r="K149" s="2" t="s">
        <v>239</v>
      </c>
      <c r="L149" s="3">
        <v>200</v>
      </c>
      <c r="M149" s="4">
        <v>8</v>
      </c>
      <c r="N149" s="3">
        <v>8000000000</v>
      </c>
      <c r="O149" s="3">
        <v>-30</v>
      </c>
      <c r="P149" s="3">
        <v>930.23260000000005</v>
      </c>
    </row>
    <row r="150" spans="1:16" x14ac:dyDescent="0.25">
      <c r="A150" s="2" t="s">
        <v>178</v>
      </c>
      <c r="B150" s="2" t="s">
        <v>4</v>
      </c>
      <c r="C150" s="2" t="s">
        <v>51</v>
      </c>
      <c r="D150" s="2" t="s">
        <v>215</v>
      </c>
      <c r="E150" s="2" t="s">
        <v>221</v>
      </c>
      <c r="F150" s="4">
        <v>5900000</v>
      </c>
      <c r="G150" s="3">
        <v>1800</v>
      </c>
      <c r="H150" s="2" t="s">
        <v>219</v>
      </c>
      <c r="I150" s="3">
        <v>5500</v>
      </c>
      <c r="J150" s="2" t="s">
        <v>219</v>
      </c>
      <c r="K150" s="2" t="s">
        <v>219</v>
      </c>
      <c r="L150" s="3">
        <v>3500</v>
      </c>
      <c r="M150" s="4">
        <v>3</v>
      </c>
      <c r="N150" s="3">
        <v>540000000000</v>
      </c>
      <c r="O150" s="3">
        <v>2000</v>
      </c>
      <c r="P150" s="3">
        <v>91525.423699999999</v>
      </c>
    </row>
    <row r="151" spans="1:16" x14ac:dyDescent="0.25">
      <c r="A151" s="2" t="s">
        <v>179</v>
      </c>
      <c r="B151" s="2" t="s">
        <v>7</v>
      </c>
      <c r="C151" s="2" t="s">
        <v>37</v>
      </c>
      <c r="D151" s="2" t="s">
        <v>215</v>
      </c>
      <c r="E151" s="2" t="s">
        <v>221</v>
      </c>
      <c r="F151" s="4">
        <v>5400000</v>
      </c>
      <c r="G151" s="3">
        <v>900</v>
      </c>
      <c r="H151" s="2" t="s">
        <v>220</v>
      </c>
      <c r="I151" s="3">
        <v>2200</v>
      </c>
      <c r="J151" s="2" t="s">
        <v>224</v>
      </c>
      <c r="K151" s="2" t="s">
        <v>224</v>
      </c>
      <c r="L151" s="3">
        <v>1600</v>
      </c>
      <c r="M151" s="4">
        <v>4</v>
      </c>
      <c r="N151" s="3">
        <v>155000000000</v>
      </c>
      <c r="O151" s="3">
        <v>600</v>
      </c>
      <c r="P151" s="3">
        <v>28703.703699999998</v>
      </c>
    </row>
    <row r="152" spans="1:16" x14ac:dyDescent="0.25">
      <c r="A152" s="2" t="s">
        <v>180</v>
      </c>
      <c r="B152" s="2" t="s">
        <v>7</v>
      </c>
      <c r="C152" s="2" t="s">
        <v>8</v>
      </c>
      <c r="D152" s="2" t="s">
        <v>215</v>
      </c>
      <c r="E152" s="2" t="s">
        <v>221</v>
      </c>
      <c r="F152" s="4">
        <v>2100000</v>
      </c>
      <c r="G152" s="3">
        <v>1100</v>
      </c>
      <c r="H152" s="2" t="s">
        <v>220</v>
      </c>
      <c r="I152" s="3">
        <v>2400</v>
      </c>
      <c r="J152" s="2" t="s">
        <v>224</v>
      </c>
      <c r="K152" s="2" t="s">
        <v>220</v>
      </c>
      <c r="L152" s="3">
        <v>1800</v>
      </c>
      <c r="M152" s="4">
        <v>3</v>
      </c>
      <c r="N152" s="3">
        <v>78000000000</v>
      </c>
      <c r="O152" s="3">
        <v>600</v>
      </c>
      <c r="P152" s="3">
        <v>37142.857100000001</v>
      </c>
    </row>
    <row r="153" spans="1:16" x14ac:dyDescent="0.25">
      <c r="A153" s="2" t="s">
        <v>181</v>
      </c>
      <c r="B153" s="2" t="s">
        <v>10</v>
      </c>
      <c r="C153" s="2" t="s">
        <v>56</v>
      </c>
      <c r="D153" s="2" t="s">
        <v>213</v>
      </c>
      <c r="E153" s="2" t="s">
        <v>219</v>
      </c>
      <c r="F153" s="4">
        <v>18000000</v>
      </c>
      <c r="G153" s="3">
        <v>0</v>
      </c>
      <c r="H153" s="2" t="s">
        <v>239</v>
      </c>
      <c r="I153" s="3">
        <v>0</v>
      </c>
      <c r="J153" s="2" t="s">
        <v>239</v>
      </c>
      <c r="K153" s="2" t="s">
        <v>239</v>
      </c>
      <c r="L153" s="3">
        <v>180</v>
      </c>
      <c r="M153" s="4">
        <v>6</v>
      </c>
      <c r="N153" s="3">
        <v>10000000000</v>
      </c>
      <c r="O153" s="3">
        <v>-180</v>
      </c>
      <c r="P153" s="3">
        <v>555.55560000000003</v>
      </c>
    </row>
    <row r="154" spans="1:16" x14ac:dyDescent="0.25">
      <c r="A154" s="2" t="s">
        <v>182</v>
      </c>
      <c r="B154" s="2" t="s">
        <v>10</v>
      </c>
      <c r="C154" s="2" t="s">
        <v>48</v>
      </c>
      <c r="D154" s="2" t="s">
        <v>216</v>
      </c>
      <c r="E154" s="2" t="s">
        <v>222</v>
      </c>
      <c r="F154" s="4">
        <v>60000000</v>
      </c>
      <c r="G154" s="3">
        <v>250</v>
      </c>
      <c r="H154" s="2" t="s">
        <v>224</v>
      </c>
      <c r="I154" s="3">
        <v>900</v>
      </c>
      <c r="J154" s="2" t="s">
        <v>221</v>
      </c>
      <c r="K154" s="2" t="s">
        <v>224</v>
      </c>
      <c r="L154" s="3">
        <v>900</v>
      </c>
      <c r="M154" s="4">
        <v>5</v>
      </c>
      <c r="N154" s="3">
        <v>450000000000</v>
      </c>
      <c r="O154" s="3">
        <v>0</v>
      </c>
      <c r="P154" s="3">
        <v>7500</v>
      </c>
    </row>
    <row r="155" spans="1:16" x14ac:dyDescent="0.25">
      <c r="A155" s="2" t="s">
        <v>183</v>
      </c>
      <c r="B155" s="2" t="s">
        <v>7</v>
      </c>
      <c r="C155" s="2" t="s">
        <v>8</v>
      </c>
      <c r="D155" s="2" t="s">
        <v>215</v>
      </c>
      <c r="E155" s="2" t="s">
        <v>221</v>
      </c>
      <c r="F155" s="4">
        <v>48000000</v>
      </c>
      <c r="G155" s="3">
        <v>1200</v>
      </c>
      <c r="H155" s="2" t="s">
        <v>219</v>
      </c>
      <c r="I155" s="3">
        <v>2700</v>
      </c>
      <c r="J155" s="2" t="s">
        <v>219</v>
      </c>
      <c r="K155" s="2" t="s">
        <v>220</v>
      </c>
      <c r="L155" s="3">
        <v>2200</v>
      </c>
      <c r="M155" s="4">
        <v>3</v>
      </c>
      <c r="N155" s="3">
        <v>1750000000000</v>
      </c>
      <c r="O155" s="3">
        <v>500</v>
      </c>
      <c r="P155" s="3">
        <v>36458.333299999998</v>
      </c>
    </row>
    <row r="156" spans="1:16" x14ac:dyDescent="0.25">
      <c r="A156" s="2" t="s">
        <v>184</v>
      </c>
      <c r="B156" s="2" t="s">
        <v>4</v>
      </c>
      <c r="C156" s="2" t="s">
        <v>5</v>
      </c>
      <c r="D156" s="2" t="s">
        <v>214</v>
      </c>
      <c r="E156" s="2" t="s">
        <v>220</v>
      </c>
      <c r="F156" s="4">
        <v>22000000</v>
      </c>
      <c r="G156" s="3">
        <v>120</v>
      </c>
      <c r="H156" s="2" t="s">
        <v>221</v>
      </c>
      <c r="I156" s="3">
        <v>360</v>
      </c>
      <c r="J156" s="2" t="s">
        <v>239</v>
      </c>
      <c r="K156" s="2" t="s">
        <v>221</v>
      </c>
      <c r="L156" s="3">
        <v>320</v>
      </c>
      <c r="M156" s="4">
        <v>8</v>
      </c>
      <c r="N156" s="3">
        <v>90000000000</v>
      </c>
      <c r="O156" s="3">
        <v>40</v>
      </c>
      <c r="P156" s="3">
        <v>4090.9090999999999</v>
      </c>
    </row>
    <row r="157" spans="1:16" x14ac:dyDescent="0.25">
      <c r="A157" s="2" t="s">
        <v>185</v>
      </c>
      <c r="B157" s="2" t="s">
        <v>10</v>
      </c>
      <c r="C157" s="2" t="s">
        <v>11</v>
      </c>
      <c r="D157" s="2" t="s">
        <v>213</v>
      </c>
      <c r="E157" s="2" t="s">
        <v>219</v>
      </c>
      <c r="F157" s="4">
        <v>49000000</v>
      </c>
      <c r="G157" s="3">
        <v>40</v>
      </c>
      <c r="H157" s="2" t="s">
        <v>239</v>
      </c>
      <c r="I157" s="3">
        <v>110</v>
      </c>
      <c r="J157" s="2" t="s">
        <v>239</v>
      </c>
      <c r="K157" s="2" t="s">
        <v>239</v>
      </c>
      <c r="L157" s="3">
        <v>200</v>
      </c>
      <c r="M157" s="4">
        <v>80</v>
      </c>
      <c r="N157" s="3">
        <v>60000000000</v>
      </c>
      <c r="O157" s="3">
        <v>-90</v>
      </c>
      <c r="P157" s="3">
        <v>1224.4898000000001</v>
      </c>
    </row>
    <row r="158" spans="1:16" x14ac:dyDescent="0.25">
      <c r="A158" s="2" t="s">
        <v>186</v>
      </c>
      <c r="B158" s="2" t="s">
        <v>23</v>
      </c>
      <c r="C158" s="2" t="s">
        <v>23</v>
      </c>
      <c r="D158" s="2" t="s">
        <v>214</v>
      </c>
      <c r="E158" s="2" t="s">
        <v>220</v>
      </c>
      <c r="F158" s="4">
        <v>600000</v>
      </c>
      <c r="G158" s="3">
        <v>300</v>
      </c>
      <c r="H158" s="2" t="s">
        <v>221</v>
      </c>
      <c r="I158" s="3">
        <v>720</v>
      </c>
      <c r="J158" s="2" t="s">
        <v>221</v>
      </c>
      <c r="K158" s="2" t="s">
        <v>221</v>
      </c>
      <c r="L158" s="3">
        <v>650</v>
      </c>
      <c r="M158" s="4">
        <v>6</v>
      </c>
      <c r="N158" s="3">
        <v>9000000000</v>
      </c>
      <c r="O158" s="3">
        <v>70</v>
      </c>
      <c r="P158" s="3">
        <v>15000</v>
      </c>
    </row>
    <row r="159" spans="1:16" x14ac:dyDescent="0.25">
      <c r="A159" s="2" t="s">
        <v>187</v>
      </c>
      <c r="B159" s="2" t="s">
        <v>7</v>
      </c>
      <c r="C159" s="2" t="s">
        <v>80</v>
      </c>
      <c r="D159" s="2" t="s">
        <v>215</v>
      </c>
      <c r="E159" s="2" t="s">
        <v>221</v>
      </c>
      <c r="F159" s="4">
        <v>10500000</v>
      </c>
      <c r="G159" s="3">
        <v>0</v>
      </c>
      <c r="H159" s="2" t="s">
        <v>219</v>
      </c>
      <c r="I159" s="3">
        <v>5200</v>
      </c>
      <c r="J159" s="2" t="s">
        <v>219</v>
      </c>
      <c r="K159" s="2" t="s">
        <v>219</v>
      </c>
      <c r="L159" s="3">
        <v>3200</v>
      </c>
      <c r="M159" s="4">
        <v>3</v>
      </c>
      <c r="N159" s="3">
        <v>670000000000</v>
      </c>
      <c r="O159" s="3">
        <v>2000</v>
      </c>
      <c r="P159" s="3">
        <v>63809.523800000003</v>
      </c>
    </row>
    <row r="160" spans="1:16" x14ac:dyDescent="0.25">
      <c r="A160" s="2" t="s">
        <v>188</v>
      </c>
      <c r="B160" s="2" t="s">
        <v>7</v>
      </c>
      <c r="C160" s="2" t="s">
        <v>30</v>
      </c>
      <c r="D160" s="2" t="s">
        <v>215</v>
      </c>
      <c r="E160" s="2" t="s">
        <v>221</v>
      </c>
      <c r="F160" s="4">
        <v>9000000</v>
      </c>
      <c r="G160" s="3">
        <v>0</v>
      </c>
      <c r="H160" s="2" t="s">
        <v>219</v>
      </c>
      <c r="I160" s="3">
        <v>6500</v>
      </c>
      <c r="J160" s="2" t="s">
        <v>219</v>
      </c>
      <c r="K160" s="2" t="s">
        <v>219</v>
      </c>
      <c r="L160" s="3">
        <v>4200</v>
      </c>
      <c r="M160" s="4">
        <v>2</v>
      </c>
      <c r="N160" s="3">
        <v>950000000000</v>
      </c>
      <c r="O160" s="3">
        <v>2300</v>
      </c>
      <c r="P160" s="3">
        <v>105555.55560000001</v>
      </c>
    </row>
    <row r="161" spans="1:16" x14ac:dyDescent="0.25">
      <c r="A161" s="2" t="s">
        <v>189</v>
      </c>
      <c r="B161" s="2" t="s">
        <v>4</v>
      </c>
      <c r="C161" s="2" t="s">
        <v>25</v>
      </c>
      <c r="D161" s="2" t="s">
        <v>213</v>
      </c>
      <c r="E161" s="2" t="s">
        <v>219</v>
      </c>
      <c r="F161" s="4">
        <v>24000000</v>
      </c>
      <c r="G161" s="3">
        <v>20</v>
      </c>
      <c r="H161" s="2" t="s">
        <v>239</v>
      </c>
      <c r="I161" s="3">
        <v>60</v>
      </c>
      <c r="J161" s="2" t="s">
        <v>239</v>
      </c>
      <c r="K161" s="2" t="s">
        <v>239</v>
      </c>
      <c r="L161" s="3">
        <v>180</v>
      </c>
      <c r="M161" s="4">
        <v>50</v>
      </c>
      <c r="N161" s="3">
        <v>25000000000</v>
      </c>
      <c r="O161" s="3">
        <v>-120</v>
      </c>
      <c r="P161" s="3">
        <v>1041.6667</v>
      </c>
    </row>
    <row r="162" spans="1:16" x14ac:dyDescent="0.25">
      <c r="A162" s="2" t="s">
        <v>190</v>
      </c>
      <c r="B162" s="2" t="s">
        <v>4</v>
      </c>
      <c r="C162" s="2" t="s">
        <v>67</v>
      </c>
      <c r="D162" s="2" t="s">
        <v>215</v>
      </c>
      <c r="E162" s="2" t="s">
        <v>221</v>
      </c>
      <c r="F162" s="4">
        <v>23000000</v>
      </c>
      <c r="G162" s="3">
        <v>900</v>
      </c>
      <c r="H162" s="2" t="s">
        <v>220</v>
      </c>
      <c r="I162" s="3">
        <v>3000</v>
      </c>
      <c r="J162" s="2" t="s">
        <v>220</v>
      </c>
      <c r="K162" s="2" t="s">
        <v>220</v>
      </c>
      <c r="L162" s="3">
        <v>2200</v>
      </c>
      <c r="M162" s="4">
        <v>3</v>
      </c>
      <c r="N162" s="3">
        <v>860000000000</v>
      </c>
      <c r="O162" s="3">
        <v>800</v>
      </c>
      <c r="P162" s="3">
        <v>37391.304300000003</v>
      </c>
    </row>
    <row r="163" spans="1:16" x14ac:dyDescent="0.25">
      <c r="A163" s="2" t="s">
        <v>191</v>
      </c>
      <c r="B163" s="2" t="s">
        <v>10</v>
      </c>
      <c r="C163" s="2" t="s">
        <v>56</v>
      </c>
      <c r="D163" s="2" t="s">
        <v>213</v>
      </c>
      <c r="E163" s="2" t="s">
        <v>219</v>
      </c>
      <c r="F163" s="4">
        <v>67000000</v>
      </c>
      <c r="G163" s="3">
        <v>70</v>
      </c>
      <c r="H163" s="2" t="s">
        <v>239</v>
      </c>
      <c r="I163" s="3">
        <v>220</v>
      </c>
      <c r="J163" s="2" t="s">
        <v>239</v>
      </c>
      <c r="K163" s="2" t="s">
        <v>239</v>
      </c>
      <c r="L163" s="3">
        <v>250</v>
      </c>
      <c r="M163" s="4">
        <v>5</v>
      </c>
      <c r="N163" s="3">
        <v>95000000000</v>
      </c>
      <c r="O163" s="3">
        <v>-30</v>
      </c>
      <c r="P163" s="3">
        <v>1417.9104</v>
      </c>
    </row>
    <row r="164" spans="1:16" x14ac:dyDescent="0.25">
      <c r="A164" s="2" t="s">
        <v>192</v>
      </c>
      <c r="B164" s="2" t="s">
        <v>4</v>
      </c>
      <c r="C164" s="2" t="s">
        <v>51</v>
      </c>
      <c r="D164" s="2" t="s">
        <v>216</v>
      </c>
      <c r="E164" s="2" t="s">
        <v>222</v>
      </c>
      <c r="F164" s="4">
        <v>71000000</v>
      </c>
      <c r="G164" s="3">
        <v>250</v>
      </c>
      <c r="H164" s="2" t="s">
        <v>221</v>
      </c>
      <c r="I164" s="3">
        <v>720</v>
      </c>
      <c r="J164" s="2" t="s">
        <v>221</v>
      </c>
      <c r="K164" s="2" t="s">
        <v>221</v>
      </c>
      <c r="L164" s="3">
        <v>650</v>
      </c>
      <c r="M164" s="4">
        <v>2</v>
      </c>
      <c r="N164" s="3">
        <v>620000000000</v>
      </c>
      <c r="O164" s="3">
        <v>70</v>
      </c>
      <c r="P164" s="3">
        <v>8732.3943999999992</v>
      </c>
    </row>
    <row r="165" spans="1:16" x14ac:dyDescent="0.25">
      <c r="A165" s="2" t="s">
        <v>193</v>
      </c>
      <c r="B165" s="2" t="s">
        <v>10</v>
      </c>
      <c r="C165" s="2" t="s">
        <v>42</v>
      </c>
      <c r="D165" s="2" t="s">
        <v>213</v>
      </c>
      <c r="E165" s="2" t="s">
        <v>219</v>
      </c>
      <c r="F165" s="4">
        <v>9000000</v>
      </c>
      <c r="G165" s="3">
        <v>60</v>
      </c>
      <c r="H165" s="2" t="s">
        <v>239</v>
      </c>
      <c r="I165" s="3">
        <v>160</v>
      </c>
      <c r="J165" s="2" t="s">
        <v>239</v>
      </c>
      <c r="K165" s="2" t="s">
        <v>239</v>
      </c>
      <c r="L165" s="3">
        <v>220</v>
      </c>
      <c r="M165" s="4">
        <v>4</v>
      </c>
      <c r="N165" s="3">
        <v>16000000000</v>
      </c>
      <c r="O165" s="3">
        <v>-60</v>
      </c>
      <c r="P165" s="3">
        <v>1777.7778000000001</v>
      </c>
    </row>
    <row r="166" spans="1:16" x14ac:dyDescent="0.25">
      <c r="A166" s="2" t="s">
        <v>194</v>
      </c>
      <c r="B166" s="2" t="s">
        <v>19</v>
      </c>
      <c r="C166" s="2" t="s">
        <v>20</v>
      </c>
      <c r="D166" s="2" t="s">
        <v>216</v>
      </c>
      <c r="E166" s="2" t="s">
        <v>222</v>
      </c>
      <c r="F166" s="4">
        <v>1500000</v>
      </c>
      <c r="G166" s="3">
        <v>700</v>
      </c>
      <c r="H166" s="2" t="s">
        <v>220</v>
      </c>
      <c r="I166" s="3">
        <v>1800</v>
      </c>
      <c r="J166" s="2" t="s">
        <v>224</v>
      </c>
      <c r="K166" s="2" t="s">
        <v>220</v>
      </c>
      <c r="L166" s="3">
        <v>1800</v>
      </c>
      <c r="M166" s="4">
        <v>4</v>
      </c>
      <c r="N166" s="3">
        <v>26000000000</v>
      </c>
      <c r="O166" s="3">
        <v>0</v>
      </c>
      <c r="P166" s="3">
        <v>17333.333299999998</v>
      </c>
    </row>
    <row r="167" spans="1:16" x14ac:dyDescent="0.25">
      <c r="A167" s="2" t="s">
        <v>195</v>
      </c>
      <c r="B167" s="2" t="s">
        <v>10</v>
      </c>
      <c r="C167" s="2" t="s">
        <v>11</v>
      </c>
      <c r="D167" s="2" t="s">
        <v>214</v>
      </c>
      <c r="E167" s="2" t="s">
        <v>220</v>
      </c>
      <c r="F167" s="4">
        <v>12000000</v>
      </c>
      <c r="G167" s="3">
        <v>250</v>
      </c>
      <c r="H167" s="2" t="s">
        <v>221</v>
      </c>
      <c r="I167" s="3">
        <v>640</v>
      </c>
      <c r="J167" s="2" t="s">
        <v>239</v>
      </c>
      <c r="K167" s="2" t="s">
        <v>221</v>
      </c>
      <c r="L167" s="3">
        <v>500</v>
      </c>
      <c r="M167" s="4">
        <v>4</v>
      </c>
      <c r="N167" s="3">
        <v>60000000000</v>
      </c>
      <c r="O167" s="3">
        <v>140</v>
      </c>
      <c r="P167" s="3">
        <v>5000</v>
      </c>
    </row>
    <row r="168" spans="1:16" x14ac:dyDescent="0.25">
      <c r="A168" s="2" t="s">
        <v>196</v>
      </c>
      <c r="B168" s="2" t="s">
        <v>4</v>
      </c>
      <c r="C168" s="2" t="s">
        <v>25</v>
      </c>
      <c r="D168" s="2" t="s">
        <v>216</v>
      </c>
      <c r="E168" s="2" t="s">
        <v>222</v>
      </c>
      <c r="F168" s="4">
        <v>86000000</v>
      </c>
      <c r="G168" s="3">
        <v>600</v>
      </c>
      <c r="H168" s="2" t="s">
        <v>224</v>
      </c>
      <c r="I168" s="3">
        <v>1350</v>
      </c>
      <c r="J168" s="2" t="s">
        <v>221</v>
      </c>
      <c r="K168" s="2" t="s">
        <v>224</v>
      </c>
      <c r="L168" s="3">
        <v>900</v>
      </c>
      <c r="M168" s="4">
        <v>38</v>
      </c>
      <c r="N168" s="3">
        <v>1150000000000</v>
      </c>
      <c r="O168" s="3">
        <v>450</v>
      </c>
      <c r="P168" s="3">
        <v>13372.093000000001</v>
      </c>
    </row>
    <row r="169" spans="1:16" x14ac:dyDescent="0.25">
      <c r="A169" s="2" t="s">
        <v>197</v>
      </c>
      <c r="B169" s="2" t="s">
        <v>4</v>
      </c>
      <c r="C169" s="2" t="s">
        <v>124</v>
      </c>
      <c r="D169" s="2" t="s">
        <v>214</v>
      </c>
      <c r="E169" s="2" t="s">
        <v>220</v>
      </c>
      <c r="F169" s="4">
        <v>7000000</v>
      </c>
      <c r="G169" s="3">
        <v>200</v>
      </c>
      <c r="H169" s="2" t="s">
        <v>239</v>
      </c>
      <c r="I169" s="3">
        <v>480</v>
      </c>
      <c r="J169" s="2" t="s">
        <v>239</v>
      </c>
      <c r="K169" s="2" t="s">
        <v>239</v>
      </c>
      <c r="L169" s="3">
        <v>300</v>
      </c>
      <c r="M169" s="4">
        <v>5</v>
      </c>
      <c r="N169" s="3">
        <v>65000000000</v>
      </c>
      <c r="O169" s="3">
        <v>180</v>
      </c>
      <c r="P169" s="3">
        <v>9285.7142999999996</v>
      </c>
    </row>
    <row r="170" spans="1:16" x14ac:dyDescent="0.25">
      <c r="A170" s="2" t="s">
        <v>198</v>
      </c>
      <c r="B170" s="2" t="s">
        <v>10</v>
      </c>
      <c r="C170" s="2" t="s">
        <v>56</v>
      </c>
      <c r="D170" s="2" t="s">
        <v>213</v>
      </c>
      <c r="E170" s="2" t="s">
        <v>219</v>
      </c>
      <c r="F170" s="4">
        <v>50000000</v>
      </c>
      <c r="G170" s="3">
        <v>60</v>
      </c>
      <c r="H170" s="2" t="s">
        <v>239</v>
      </c>
      <c r="I170" s="3">
        <v>220</v>
      </c>
      <c r="J170" s="2" t="s">
        <v>239</v>
      </c>
      <c r="K170" s="2" t="s">
        <v>239</v>
      </c>
      <c r="L170" s="3">
        <v>220</v>
      </c>
      <c r="M170" s="4">
        <v>5</v>
      </c>
      <c r="N170" s="3">
        <v>85000000000</v>
      </c>
      <c r="O170" s="3">
        <v>0</v>
      </c>
      <c r="P170" s="3">
        <v>1700</v>
      </c>
    </row>
    <row r="171" spans="1:16" x14ac:dyDescent="0.25">
      <c r="A171" s="2" t="s">
        <v>199</v>
      </c>
      <c r="B171" s="2" t="s">
        <v>7</v>
      </c>
      <c r="C171" s="2" t="s">
        <v>37</v>
      </c>
      <c r="D171" s="2" t="s">
        <v>214</v>
      </c>
      <c r="E171" s="2" t="s">
        <v>220</v>
      </c>
      <c r="F171" s="4">
        <v>36000000</v>
      </c>
      <c r="G171" s="3">
        <v>200</v>
      </c>
      <c r="H171" s="2" t="s">
        <v>221</v>
      </c>
      <c r="I171" s="3">
        <v>560</v>
      </c>
      <c r="J171" s="2" t="s">
        <v>239</v>
      </c>
      <c r="K171" s="2" t="s">
        <v>221</v>
      </c>
      <c r="L171" s="3">
        <v>450</v>
      </c>
      <c r="M171" s="4">
        <v>7</v>
      </c>
      <c r="N171" s="3">
        <v>240000000000</v>
      </c>
      <c r="O171" s="3">
        <v>110</v>
      </c>
      <c r="P171" s="3">
        <v>6666.6666999999998</v>
      </c>
    </row>
    <row r="172" spans="1:16" x14ac:dyDescent="0.25">
      <c r="A172" s="2" t="s">
        <v>200</v>
      </c>
      <c r="B172" s="2" t="s">
        <v>4</v>
      </c>
      <c r="C172" s="2" t="s">
        <v>25</v>
      </c>
      <c r="D172" s="2" t="s">
        <v>215</v>
      </c>
      <c r="E172" s="2" t="s">
        <v>221</v>
      </c>
      <c r="F172" s="4">
        <v>10000000</v>
      </c>
      <c r="G172" s="3">
        <v>1500</v>
      </c>
      <c r="H172" s="2" t="s">
        <v>219</v>
      </c>
      <c r="I172" s="3">
        <v>5000</v>
      </c>
      <c r="J172" s="2" t="s">
        <v>219</v>
      </c>
      <c r="K172" s="2" t="s">
        <v>220</v>
      </c>
      <c r="L172" s="3">
        <v>2800</v>
      </c>
      <c r="M172" s="4">
        <v>2</v>
      </c>
      <c r="N172" s="3">
        <v>610000000000</v>
      </c>
      <c r="O172" s="3">
        <v>2200</v>
      </c>
      <c r="P172" s="3">
        <v>61000</v>
      </c>
    </row>
    <row r="173" spans="1:16" x14ac:dyDescent="0.25">
      <c r="A173" s="2" t="s">
        <v>201</v>
      </c>
      <c r="B173" s="2" t="s">
        <v>7</v>
      </c>
      <c r="C173" s="2" t="s">
        <v>80</v>
      </c>
      <c r="D173" s="2" t="s">
        <v>215</v>
      </c>
      <c r="E173" s="2" t="s">
        <v>221</v>
      </c>
      <c r="F173" s="4">
        <v>68000000</v>
      </c>
      <c r="G173" s="3">
        <v>2000</v>
      </c>
      <c r="H173" s="2" t="s">
        <v>219</v>
      </c>
      <c r="I173" s="3">
        <v>4700</v>
      </c>
      <c r="J173" s="2" t="s">
        <v>219</v>
      </c>
      <c r="K173" s="2" t="s">
        <v>219</v>
      </c>
      <c r="L173" s="3">
        <v>3200</v>
      </c>
      <c r="M173" s="4">
        <v>3</v>
      </c>
      <c r="N173" s="3">
        <v>3100000000000</v>
      </c>
      <c r="O173" s="3">
        <v>1500</v>
      </c>
      <c r="P173" s="3">
        <v>45588.2353</v>
      </c>
    </row>
    <row r="174" spans="1:16" x14ac:dyDescent="0.25">
      <c r="A174" s="2" t="s">
        <v>202</v>
      </c>
      <c r="B174" s="2" t="s">
        <v>19</v>
      </c>
      <c r="C174" s="2" t="s">
        <v>60</v>
      </c>
      <c r="D174" s="2" t="s">
        <v>215</v>
      </c>
      <c r="E174" s="2" t="s">
        <v>221</v>
      </c>
      <c r="F174" s="4">
        <v>340000000</v>
      </c>
      <c r="G174" s="3">
        <v>1250</v>
      </c>
      <c r="H174" s="2" t="s">
        <v>219</v>
      </c>
      <c r="I174" s="3">
        <v>5000</v>
      </c>
      <c r="J174" s="2" t="s">
        <v>219</v>
      </c>
      <c r="K174" s="2" t="s">
        <v>219</v>
      </c>
      <c r="L174" s="3">
        <v>3500</v>
      </c>
      <c r="M174" s="4">
        <v>3</v>
      </c>
      <c r="N174" s="3">
        <v>29000000000000</v>
      </c>
      <c r="O174" s="3">
        <v>1500</v>
      </c>
      <c r="P174" s="3">
        <v>85294.117599999998</v>
      </c>
    </row>
    <row r="175" spans="1:16" x14ac:dyDescent="0.25">
      <c r="A175" s="2" t="s">
        <v>203</v>
      </c>
      <c r="B175" s="2" t="s">
        <v>23</v>
      </c>
      <c r="C175" s="2" t="s">
        <v>23</v>
      </c>
      <c r="D175" s="2" t="s">
        <v>215</v>
      </c>
      <c r="E175" s="2" t="s">
        <v>221</v>
      </c>
      <c r="F175" s="4">
        <v>3500000</v>
      </c>
      <c r="G175" s="3">
        <v>600</v>
      </c>
      <c r="H175" s="2" t="s">
        <v>224</v>
      </c>
      <c r="I175" s="3">
        <v>1500</v>
      </c>
      <c r="J175" s="2" t="s">
        <v>224</v>
      </c>
      <c r="K175" s="2" t="s">
        <v>220</v>
      </c>
      <c r="L175" s="3">
        <v>1600</v>
      </c>
      <c r="M175" s="4">
        <v>4</v>
      </c>
      <c r="N175" s="3">
        <v>90000000000</v>
      </c>
      <c r="O175" s="3">
        <v>-100</v>
      </c>
      <c r="P175" s="3">
        <v>25714.2857</v>
      </c>
    </row>
    <row r="176" spans="1:16" x14ac:dyDescent="0.25">
      <c r="A176" s="2" t="s">
        <v>204</v>
      </c>
      <c r="B176" s="2" t="s">
        <v>4</v>
      </c>
      <c r="C176" s="2" t="s">
        <v>124</v>
      </c>
      <c r="D176" s="2" t="s">
        <v>214</v>
      </c>
      <c r="E176" s="2" t="s">
        <v>220</v>
      </c>
      <c r="F176" s="4">
        <v>36000000</v>
      </c>
      <c r="G176" s="3">
        <v>120</v>
      </c>
      <c r="H176" s="2" t="s">
        <v>221</v>
      </c>
      <c r="I176" s="3">
        <v>360</v>
      </c>
      <c r="J176" s="2" t="s">
        <v>239</v>
      </c>
      <c r="K176" s="2" t="s">
        <v>239</v>
      </c>
      <c r="L176" s="3">
        <v>320</v>
      </c>
      <c r="M176" s="4">
        <v>6</v>
      </c>
      <c r="N176" s="3">
        <v>130000000000</v>
      </c>
      <c r="O176" s="3">
        <v>40</v>
      </c>
      <c r="P176" s="3">
        <v>3611.1111000000001</v>
      </c>
    </row>
    <row r="177" spans="1:16" x14ac:dyDescent="0.25">
      <c r="A177" s="2" t="s">
        <v>205</v>
      </c>
      <c r="B177" s="2" t="s">
        <v>23</v>
      </c>
      <c r="C177" s="2" t="s">
        <v>23</v>
      </c>
      <c r="D177" s="2" t="s">
        <v>214</v>
      </c>
      <c r="E177" s="2" t="s">
        <v>220</v>
      </c>
      <c r="F177" s="4">
        <v>28000000</v>
      </c>
      <c r="G177" s="3">
        <v>5</v>
      </c>
      <c r="H177" s="2" t="s">
        <v>239</v>
      </c>
      <c r="I177" s="3">
        <v>30</v>
      </c>
      <c r="J177" s="2" t="s">
        <v>239</v>
      </c>
      <c r="K177" s="2" t="s">
        <v>239</v>
      </c>
      <c r="L177" s="3">
        <v>250</v>
      </c>
      <c r="M177" s="4">
        <v>200</v>
      </c>
      <c r="N177" s="3">
        <v>130000000000</v>
      </c>
      <c r="O177" s="3">
        <v>-220</v>
      </c>
      <c r="P177" s="3">
        <v>4642.8571000000002</v>
      </c>
    </row>
    <row r="178" spans="1:16" x14ac:dyDescent="0.25">
      <c r="A178" s="2" t="s">
        <v>206</v>
      </c>
      <c r="B178" s="2" t="s">
        <v>4</v>
      </c>
      <c r="C178" s="2" t="s">
        <v>51</v>
      </c>
      <c r="D178" s="2" t="s">
        <v>214</v>
      </c>
      <c r="E178" s="2" t="s">
        <v>220</v>
      </c>
      <c r="F178" s="4">
        <v>100000000</v>
      </c>
      <c r="G178" s="3">
        <v>180</v>
      </c>
      <c r="H178" s="2" t="s">
        <v>221</v>
      </c>
      <c r="I178" s="3">
        <v>560</v>
      </c>
      <c r="J178" s="2" t="s">
        <v>239</v>
      </c>
      <c r="K178" s="2" t="s">
        <v>221</v>
      </c>
      <c r="L178" s="3">
        <v>450</v>
      </c>
      <c r="M178" s="4">
        <v>4</v>
      </c>
      <c r="N178" s="3">
        <v>550000000000</v>
      </c>
      <c r="O178" s="3">
        <v>110</v>
      </c>
      <c r="P178" s="3">
        <v>5500</v>
      </c>
    </row>
    <row r="179" spans="1:16" x14ac:dyDescent="0.25">
      <c r="A179" s="2" t="s">
        <v>207</v>
      </c>
      <c r="B179" s="2" t="s">
        <v>4</v>
      </c>
      <c r="C179" s="2" t="s">
        <v>25</v>
      </c>
      <c r="D179" s="2" t="s">
        <v>213</v>
      </c>
      <c r="E179" s="2" t="s">
        <v>219</v>
      </c>
      <c r="F179" s="4">
        <v>5000000</v>
      </c>
      <c r="G179" s="3">
        <v>400</v>
      </c>
      <c r="H179" s="2" t="s">
        <v>224</v>
      </c>
      <c r="I179" s="3">
        <v>720</v>
      </c>
      <c r="J179" s="2" t="s">
        <v>221</v>
      </c>
      <c r="K179" s="2" t="s">
        <v>221</v>
      </c>
      <c r="L179" s="3">
        <v>600</v>
      </c>
      <c r="M179" s="4">
        <v>4</v>
      </c>
      <c r="N179" s="3">
        <v>18000000000</v>
      </c>
      <c r="O179" s="3">
        <v>120</v>
      </c>
      <c r="P179" s="3">
        <v>3600</v>
      </c>
    </row>
    <row r="180" spans="1:16" x14ac:dyDescent="0.25">
      <c r="A180" s="2" t="s">
        <v>208</v>
      </c>
      <c r="B180" s="2" t="s">
        <v>10</v>
      </c>
      <c r="C180" s="2" t="s">
        <v>11</v>
      </c>
      <c r="D180" s="2" t="s">
        <v>213</v>
      </c>
      <c r="E180" s="2" t="s">
        <v>219</v>
      </c>
      <c r="F180" s="4">
        <v>600000</v>
      </c>
      <c r="G180" s="3">
        <v>0</v>
      </c>
      <c r="H180" s="2" t="s">
        <v>239</v>
      </c>
      <c r="I180" s="3">
        <v>0</v>
      </c>
      <c r="J180" s="2" t="s">
        <v>239</v>
      </c>
      <c r="K180" s="2" t="s">
        <v>239</v>
      </c>
      <c r="L180" s="3">
        <v>200</v>
      </c>
      <c r="M180" s="4">
        <v>4</v>
      </c>
      <c r="N180" s="3">
        <v>3000000000</v>
      </c>
      <c r="O180" s="3">
        <v>-200</v>
      </c>
      <c r="P180" s="3">
        <v>5000</v>
      </c>
    </row>
    <row r="181" spans="1:16" x14ac:dyDescent="0.25">
      <c r="A181" s="2" t="s">
        <v>209</v>
      </c>
      <c r="B181" s="2" t="s">
        <v>4</v>
      </c>
      <c r="C181" s="2" t="s">
        <v>25</v>
      </c>
      <c r="D181" s="2" t="s">
        <v>213</v>
      </c>
      <c r="E181" s="2" t="s">
        <v>219</v>
      </c>
      <c r="F181" s="4">
        <v>34000000</v>
      </c>
      <c r="G181" s="3">
        <v>30</v>
      </c>
      <c r="H181" s="2" t="s">
        <v>239</v>
      </c>
      <c r="I181" s="3">
        <v>90</v>
      </c>
      <c r="J181" s="2" t="s">
        <v>239</v>
      </c>
      <c r="K181" s="2" t="s">
        <v>239</v>
      </c>
      <c r="L181" s="3">
        <v>180</v>
      </c>
      <c r="M181" s="4">
        <v>30</v>
      </c>
      <c r="N181" s="3">
        <v>28000000000</v>
      </c>
      <c r="O181" s="3">
        <v>-90</v>
      </c>
      <c r="P181" s="3">
        <v>823.52940000000001</v>
      </c>
    </row>
    <row r="182" spans="1:16" x14ac:dyDescent="0.25">
      <c r="A182" s="2" t="s">
        <v>210</v>
      </c>
      <c r="B182" s="2" t="s">
        <v>10</v>
      </c>
      <c r="C182" s="2" t="s">
        <v>48</v>
      </c>
      <c r="D182" s="2" t="s">
        <v>213</v>
      </c>
      <c r="E182" s="2" t="s">
        <v>219</v>
      </c>
      <c r="F182" s="4">
        <v>21000000</v>
      </c>
      <c r="G182" s="3">
        <v>80</v>
      </c>
      <c r="H182" s="2" t="s">
        <v>239</v>
      </c>
      <c r="I182" s="3">
        <v>240</v>
      </c>
      <c r="J182" s="2" t="s">
        <v>239</v>
      </c>
      <c r="K182" s="2" t="s">
        <v>239</v>
      </c>
      <c r="L182" s="3">
        <v>300</v>
      </c>
      <c r="M182" s="4">
        <v>8</v>
      </c>
      <c r="N182" s="3">
        <v>38000000000</v>
      </c>
      <c r="O182" s="3">
        <v>-60</v>
      </c>
      <c r="P182" s="3">
        <v>1809.5237999999999</v>
      </c>
    </row>
    <row r="183" spans="1:16" x14ac:dyDescent="0.25">
      <c r="A183" s="2" t="s">
        <v>211</v>
      </c>
      <c r="B183" s="2" t="s">
        <v>10</v>
      </c>
      <c r="C183" s="2" t="s">
        <v>48</v>
      </c>
      <c r="D183" s="2" t="s">
        <v>213</v>
      </c>
      <c r="E183" s="2" t="s">
        <v>219</v>
      </c>
      <c r="F183" s="4">
        <v>17000000</v>
      </c>
      <c r="G183" s="3">
        <v>100</v>
      </c>
      <c r="H183" s="2" t="s">
        <v>239</v>
      </c>
      <c r="I183" s="3">
        <v>280</v>
      </c>
      <c r="J183" s="2" t="s">
        <v>239</v>
      </c>
      <c r="K183" s="2" t="s">
        <v>239</v>
      </c>
      <c r="L183" s="3">
        <v>250</v>
      </c>
      <c r="M183" s="4">
        <v>90</v>
      </c>
      <c r="N183" s="3">
        <v>32000000000</v>
      </c>
      <c r="O183" s="3">
        <v>30</v>
      </c>
      <c r="P183" s="3">
        <v>1882.3529000000001</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6"/>
  </sheetPr>
  <dimension ref="A1:T21"/>
  <sheetViews>
    <sheetView topLeftCell="A7" workbookViewId="0">
      <selection activeCell="D24" sqref="D24"/>
    </sheetView>
  </sheetViews>
  <sheetFormatPr defaultRowHeight="15" x14ac:dyDescent="0.25"/>
  <cols>
    <col min="1" max="1" width="19" bestFit="1" customWidth="1"/>
    <col min="2" max="2" width="19.42578125" bestFit="1" customWidth="1"/>
    <col min="3" max="3" width="32" bestFit="1" customWidth="1"/>
    <col min="4" max="4" width="27.28515625" bestFit="1" customWidth="1"/>
    <col min="5" max="5" width="28.5703125" bestFit="1" customWidth="1"/>
    <col min="6" max="6" width="22.28515625" bestFit="1" customWidth="1"/>
    <col min="7" max="7" width="27" bestFit="1" customWidth="1"/>
    <col min="8" max="8" width="16.85546875" bestFit="1" customWidth="1"/>
    <col min="9" max="9" width="39.5703125" bestFit="1" customWidth="1"/>
    <col min="10" max="10" width="28.140625" bestFit="1" customWidth="1"/>
    <col min="11" max="11" width="26.42578125" bestFit="1" customWidth="1"/>
    <col min="12" max="12" width="45.42578125" bestFit="1" customWidth="1"/>
    <col min="13" max="13" width="37" bestFit="1" customWidth="1"/>
    <col min="14" max="14" width="25.85546875" bestFit="1" customWidth="1"/>
    <col min="15" max="15" width="24.5703125" bestFit="1" customWidth="1"/>
    <col min="16" max="16" width="20" bestFit="1" customWidth="1"/>
  </cols>
  <sheetData>
    <row r="1" spans="1:20" ht="21" x14ac:dyDescent="0.35">
      <c r="A1" s="62" t="s">
        <v>247</v>
      </c>
      <c r="B1" s="62"/>
      <c r="C1" s="62"/>
      <c r="G1" s="62" t="s">
        <v>247</v>
      </c>
      <c r="H1" s="62"/>
    </row>
    <row r="2" spans="1:20" ht="21" x14ac:dyDescent="0.35">
      <c r="A2" s="39" t="s">
        <v>246</v>
      </c>
      <c r="B2" s="39" t="s">
        <v>1</v>
      </c>
      <c r="C2" s="39" t="s">
        <v>248</v>
      </c>
      <c r="G2" s="39" t="s">
        <v>246</v>
      </c>
      <c r="H2" s="39" t="s">
        <v>223</v>
      </c>
    </row>
    <row r="3" spans="1:20" ht="21" x14ac:dyDescent="0.35">
      <c r="A3" s="40" t="s">
        <v>38</v>
      </c>
      <c r="B3" s="38" t="str">
        <f>VLOOKUP(A3,'powerQuery Table'!A2:P183,2,FALSE)</f>
        <v>Europe</v>
      </c>
      <c r="C3" s="38" t="str">
        <f>VLOOKUP(A3,'powerQuery Table'!A2:P183,3,FALSE)</f>
        <v>Western Europe</v>
      </c>
      <c r="G3" s="38" t="s">
        <v>38</v>
      </c>
      <c r="H3" s="38">
        <f>VLOOKUP(G3,'powerQuery Table'!A2:P183,6,FALSE)</f>
        <v>11700000</v>
      </c>
    </row>
    <row r="7" spans="1:20" ht="21" x14ac:dyDescent="0.35">
      <c r="A7" s="62" t="s">
        <v>249</v>
      </c>
      <c r="B7" s="62"/>
      <c r="C7" s="62"/>
    </row>
    <row r="8" spans="1:20" ht="21" x14ac:dyDescent="0.35">
      <c r="A8" s="39" t="s">
        <v>246</v>
      </c>
      <c r="B8" s="39" t="s">
        <v>1</v>
      </c>
      <c r="C8" s="39" t="s">
        <v>248</v>
      </c>
    </row>
    <row r="9" spans="1:20" ht="21" x14ac:dyDescent="0.35">
      <c r="A9" s="38" t="s">
        <v>29</v>
      </c>
      <c r="B9" s="38" t="str">
        <f>VLOOKUP(A9,'powerQuery Table'!A2:P183,2,FALSE)</f>
        <v>Europe</v>
      </c>
      <c r="C9" s="38" t="str">
        <f>VLOOKUP(A9,'powerQuery Table'!A2:P183,3,FALSE)</f>
        <v>Western Europe</v>
      </c>
    </row>
    <row r="13" spans="1:20" ht="21" x14ac:dyDescent="0.35">
      <c r="A13" s="63" t="s">
        <v>250</v>
      </c>
      <c r="B13" s="63"/>
      <c r="C13" s="63"/>
      <c r="D13" s="63"/>
      <c r="E13" s="63"/>
      <c r="F13" s="63"/>
      <c r="G13" s="63"/>
      <c r="H13" s="63"/>
      <c r="I13" s="63"/>
      <c r="J13" s="63"/>
      <c r="K13" s="63"/>
      <c r="L13" s="63"/>
      <c r="M13" s="63"/>
      <c r="N13" s="63"/>
      <c r="O13" s="41"/>
      <c r="P13" s="41"/>
      <c r="Q13" s="41"/>
      <c r="R13" s="41"/>
      <c r="S13" s="41"/>
      <c r="T13" s="41"/>
    </row>
    <row r="14" spans="1:20" ht="21" x14ac:dyDescent="0.35">
      <c r="A14" s="44" t="s">
        <v>0</v>
      </c>
      <c r="B14" s="45" t="s">
        <v>1</v>
      </c>
      <c r="C14" s="45" t="s">
        <v>2</v>
      </c>
      <c r="D14" s="45" t="s">
        <v>212</v>
      </c>
      <c r="E14" s="45" t="s">
        <v>218</v>
      </c>
      <c r="F14" s="46" t="s">
        <v>223</v>
      </c>
      <c r="G14" s="47" t="s">
        <v>225</v>
      </c>
      <c r="H14" s="44" t="s">
        <v>236</v>
      </c>
      <c r="I14" s="48" t="s">
        <v>229</v>
      </c>
      <c r="J14" s="45" t="s">
        <v>238</v>
      </c>
      <c r="K14" s="45" t="s">
        <v>240</v>
      </c>
      <c r="L14" s="48" t="s">
        <v>233</v>
      </c>
      <c r="M14" s="49" t="s">
        <v>234</v>
      </c>
      <c r="N14" s="50" t="s">
        <v>241</v>
      </c>
      <c r="O14" s="48" t="s">
        <v>242</v>
      </c>
      <c r="P14" s="51" t="s">
        <v>243</v>
      </c>
      <c r="Q14" s="41"/>
      <c r="R14" s="41"/>
      <c r="S14" s="41"/>
      <c r="T14" s="41"/>
    </row>
    <row r="15" spans="1:20" ht="21" x14ac:dyDescent="0.35">
      <c r="A15" s="38" t="s">
        <v>27</v>
      </c>
      <c r="B15" s="42" t="str">
        <f>LOOKUP($A$15,Table2[Country],Table2[Continent])</f>
        <v>Oceania</v>
      </c>
      <c r="C15" s="42" t="str">
        <f>LOOKUP($A$15,Table2[Country],Table2[Subregion])</f>
        <v>Australia &amp; New Zealand</v>
      </c>
      <c r="D15" s="42" t="str">
        <f>LOOKUP(A15,Table2[Country],Table2[Development Level])</f>
        <v>Very High Developed</v>
      </c>
      <c r="E15" s="42" t="str">
        <f>LOOKUP(A15,Table2[Country],Table2[Unemployment Level])</f>
        <v>Low</v>
      </c>
      <c r="F15" s="43">
        <f>LOOKUP(A15,Table2[Country],Table2[Population])</f>
        <v>26000000</v>
      </c>
      <c r="G15" s="15">
        <f>LOOKUP(A15,Table2[Country],Table1[Monthly_wage(USD)])</f>
        <v>2600</v>
      </c>
      <c r="H15" s="42" t="str">
        <f>LOOKUP($A$15,Table2[Country],Table3[Wage Rating])</f>
        <v>Very High</v>
      </c>
      <c r="I15" s="15">
        <f>LOOKUP($A$15,Table2[Country],Table3[Average_Monthly_Salary(USD)])</f>
        <v>5000</v>
      </c>
      <c r="J15" s="42" t="str">
        <f>LOOKUP(A15,Table2[Country],Table3[Average Salary Rating])</f>
        <v>Very High</v>
      </c>
      <c r="K15" s="42" t="str">
        <f>LOOKUP(A15,Table2[Country],Table3[Cost of Living Rating])</f>
        <v>Very High</v>
      </c>
      <c r="L15" s="15">
        <f>LOOKUP(A15,Table2[Country],Table3[Estimated Total Monthly Cost(USD)])</f>
        <v>2800</v>
      </c>
      <c r="M15" s="43">
        <f>LOOKUP(A15,Table2[Country],Table3[Inflation Rate (%)2025_2026])</f>
        <v>3</v>
      </c>
      <c r="N15" s="15">
        <f>LOOKUP(A15,Table2[Country],Table3[GDP_Nominal(USD)])</f>
        <v>1800000000000</v>
      </c>
      <c r="O15" s="15">
        <f>LOOKUP(A15,Table2[Country],Table3[Disposable Income])</f>
        <v>2200</v>
      </c>
      <c r="P15" s="15">
        <f>LOOKUP(A15,Table2[Country],Table3[GDP per Capita])</f>
        <v>69230.769230769234</v>
      </c>
      <c r="Q15" s="41"/>
      <c r="R15" s="41"/>
      <c r="S15" s="41"/>
      <c r="T15" s="41"/>
    </row>
    <row r="16" spans="1:20" x14ac:dyDescent="0.25">
      <c r="A16" s="2"/>
      <c r="B16" s="2"/>
      <c r="C16" s="2"/>
      <c r="D16" s="2"/>
      <c r="E16" s="2"/>
      <c r="F16" s="4"/>
      <c r="G16" s="3"/>
      <c r="H16" s="2"/>
      <c r="I16" s="3"/>
      <c r="J16" s="2"/>
      <c r="K16" s="2"/>
      <c r="L16" s="3"/>
      <c r="M16" s="4"/>
      <c r="N16" s="3"/>
      <c r="O16" s="3"/>
      <c r="P16" s="3"/>
    </row>
    <row r="19" spans="1:6" ht="21" x14ac:dyDescent="0.35">
      <c r="A19" s="64" t="s">
        <v>251</v>
      </c>
      <c r="B19" s="65"/>
      <c r="E19" s="62" t="s">
        <v>254</v>
      </c>
      <c r="F19" s="62"/>
    </row>
    <row r="20" spans="1:6" ht="21" x14ac:dyDescent="0.35">
      <c r="A20" s="39" t="s">
        <v>252</v>
      </c>
      <c r="B20" s="39" t="s">
        <v>253</v>
      </c>
      <c r="E20" s="39" t="s">
        <v>0</v>
      </c>
      <c r="F20" s="39" t="s">
        <v>255</v>
      </c>
    </row>
    <row r="21" spans="1:6" ht="21" x14ac:dyDescent="0.35">
      <c r="A21" s="38">
        <v>9</v>
      </c>
      <c r="B21" s="38" t="str">
        <f>INDEX(Table_Easy_sorting[Country],lookup_functions!A21)</f>
        <v>Argentina</v>
      </c>
      <c r="E21" s="38" t="s">
        <v>22</v>
      </c>
      <c r="F21" s="38">
        <f>MATCH(E21,Table2[Country],0)</f>
        <v>9</v>
      </c>
    </row>
  </sheetData>
  <mergeCells count="6">
    <mergeCell ref="G1:H1"/>
    <mergeCell ref="A1:C1"/>
    <mergeCell ref="A7:C7"/>
    <mergeCell ref="A13:N13"/>
    <mergeCell ref="A19:B19"/>
    <mergeCell ref="E19:F19"/>
  </mergeCell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'powerQuery Table'!$A$2:$A$183</xm:f>
          </x14:formula1>
          <xm:sqref>A9 A15</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C00000"/>
  </sheetPr>
  <dimension ref="A1:P183"/>
  <sheetViews>
    <sheetView topLeftCell="A22" workbookViewId="0">
      <selection activeCell="A44" sqref="A44"/>
    </sheetView>
  </sheetViews>
  <sheetFormatPr defaultRowHeight="15" x14ac:dyDescent="0.25"/>
  <cols>
    <col min="1" max="1" width="27.140625" bestFit="1" customWidth="1"/>
    <col min="2" max="2" width="14" bestFit="1" customWidth="1"/>
    <col min="3" max="3" width="23.140625" bestFit="1" customWidth="1"/>
    <col min="4" max="4" width="20.85546875" bestFit="1" customWidth="1"/>
    <col min="5" max="5" width="22.7109375" bestFit="1" customWidth="1"/>
    <col min="6" max="6" width="13" bestFit="1" customWidth="1"/>
    <col min="7" max="7" width="22" bestFit="1" customWidth="1"/>
    <col min="8" max="8" width="14.42578125" bestFit="1" customWidth="1"/>
    <col min="9" max="9" width="31.140625" bestFit="1" customWidth="1"/>
    <col min="10" max="10" width="22.5703125" bestFit="1" customWidth="1"/>
    <col min="11" max="11" width="21.28515625" bestFit="1" customWidth="1"/>
    <col min="12" max="12" width="35.140625" bestFit="1" customWidth="1"/>
    <col min="13" max="13" width="28.28515625" bestFit="1" customWidth="1"/>
    <col min="14" max="14" width="21.140625" bestFit="1" customWidth="1"/>
    <col min="15" max="15" width="20.28515625" bestFit="1" customWidth="1"/>
  </cols>
  <sheetData>
    <row r="1" spans="1:16" x14ac:dyDescent="0.25">
      <c r="A1" s="2" t="s">
        <v>0</v>
      </c>
      <c r="B1" s="2" t="s">
        <v>1</v>
      </c>
      <c r="C1" s="2" t="s">
        <v>2</v>
      </c>
      <c r="D1" s="2" t="s">
        <v>212</v>
      </c>
      <c r="E1" s="2" t="s">
        <v>218</v>
      </c>
      <c r="F1" s="4" t="s">
        <v>223</v>
      </c>
      <c r="G1" s="3" t="s">
        <v>225</v>
      </c>
      <c r="H1" s="2" t="s">
        <v>236</v>
      </c>
      <c r="I1" s="3" t="s">
        <v>229</v>
      </c>
      <c r="J1" s="2" t="s">
        <v>238</v>
      </c>
      <c r="K1" s="2" t="s">
        <v>240</v>
      </c>
      <c r="L1" s="3" t="s">
        <v>233</v>
      </c>
      <c r="M1" s="4" t="s">
        <v>234</v>
      </c>
      <c r="N1" s="3" t="s">
        <v>241</v>
      </c>
      <c r="O1" s="3" t="s">
        <v>242</v>
      </c>
      <c r="P1" s="3" t="s">
        <v>243</v>
      </c>
    </row>
    <row r="2" spans="1:16" x14ac:dyDescent="0.25">
      <c r="A2" s="2" t="s">
        <v>27</v>
      </c>
      <c r="B2" s="2" t="s">
        <v>13</v>
      </c>
      <c r="C2" s="2" t="s">
        <v>28</v>
      </c>
      <c r="D2" s="2" t="s">
        <v>215</v>
      </c>
      <c r="E2" s="2" t="s">
        <v>221</v>
      </c>
      <c r="F2" s="4">
        <v>26000000</v>
      </c>
      <c r="G2" s="3">
        <v>2600</v>
      </c>
      <c r="H2" s="2" t="s">
        <v>219</v>
      </c>
      <c r="I2" s="3">
        <v>5000</v>
      </c>
      <c r="J2" s="2" t="s">
        <v>219</v>
      </c>
      <c r="K2" s="2" t="s">
        <v>219</v>
      </c>
      <c r="L2" s="3">
        <v>2800</v>
      </c>
      <c r="M2" s="4">
        <v>3</v>
      </c>
      <c r="N2" s="3">
        <v>1800000000000</v>
      </c>
      <c r="O2" s="3">
        <v>2200</v>
      </c>
      <c r="P2" s="3">
        <v>69230.769199999995</v>
      </c>
    </row>
    <row r="3" spans="1:16" x14ac:dyDescent="0.25">
      <c r="A3" s="2" t="s">
        <v>59</v>
      </c>
      <c r="B3" s="2" t="s">
        <v>19</v>
      </c>
      <c r="C3" s="2" t="s">
        <v>60</v>
      </c>
      <c r="D3" s="2" t="s">
        <v>215</v>
      </c>
      <c r="E3" s="2" t="s">
        <v>221</v>
      </c>
      <c r="F3" s="4">
        <v>41000000</v>
      </c>
      <c r="G3" s="3">
        <v>2200</v>
      </c>
      <c r="H3" s="2" t="s">
        <v>219</v>
      </c>
      <c r="I3" s="3">
        <v>4500</v>
      </c>
      <c r="J3" s="2" t="s">
        <v>219</v>
      </c>
      <c r="K3" s="2" t="s">
        <v>219</v>
      </c>
      <c r="L3" s="3">
        <v>3000</v>
      </c>
      <c r="M3" s="4">
        <v>3</v>
      </c>
      <c r="N3" s="3">
        <v>2300000000000</v>
      </c>
      <c r="O3" s="3">
        <v>1500</v>
      </c>
      <c r="P3" s="3">
        <v>56097.561000000002</v>
      </c>
    </row>
    <row r="4" spans="1:16" x14ac:dyDescent="0.25">
      <c r="A4" s="2" t="s">
        <v>139</v>
      </c>
      <c r="B4" s="2" t="s">
        <v>7</v>
      </c>
      <c r="C4" s="2" t="s">
        <v>30</v>
      </c>
      <c r="D4" s="2" t="s">
        <v>215</v>
      </c>
      <c r="E4" s="2" t="s">
        <v>221</v>
      </c>
      <c r="F4" s="4">
        <v>660000</v>
      </c>
      <c r="G4" s="3">
        <v>2200</v>
      </c>
      <c r="H4" s="2" t="s">
        <v>219</v>
      </c>
      <c r="I4" s="3">
        <v>6000</v>
      </c>
      <c r="J4" s="2" t="s">
        <v>219</v>
      </c>
      <c r="K4" s="2" t="s">
        <v>219</v>
      </c>
      <c r="L4" s="3">
        <v>3500</v>
      </c>
      <c r="M4" s="4">
        <v>3</v>
      </c>
      <c r="N4" s="3">
        <v>125000000000</v>
      </c>
      <c r="O4" s="3">
        <v>2500</v>
      </c>
      <c r="P4" s="3">
        <v>189393.9394</v>
      </c>
    </row>
    <row r="5" spans="1:16" x14ac:dyDescent="0.25">
      <c r="A5" s="2" t="s">
        <v>156</v>
      </c>
      <c r="B5" s="2" t="s">
        <v>13</v>
      </c>
      <c r="C5" s="2" t="s">
        <v>28</v>
      </c>
      <c r="D5" s="2" t="s">
        <v>215</v>
      </c>
      <c r="E5" s="2" t="s">
        <v>221</v>
      </c>
      <c r="F5" s="4">
        <v>5200000</v>
      </c>
      <c r="G5" s="3">
        <v>2200</v>
      </c>
      <c r="H5" s="2" t="s">
        <v>219</v>
      </c>
      <c r="I5" s="3">
        <v>4700</v>
      </c>
      <c r="J5" s="2" t="s">
        <v>219</v>
      </c>
      <c r="K5" s="2" t="s">
        <v>219</v>
      </c>
      <c r="L5" s="3">
        <v>3000</v>
      </c>
      <c r="M5" s="4">
        <v>3</v>
      </c>
      <c r="N5" s="3">
        <v>270000000000</v>
      </c>
      <c r="O5" s="3">
        <v>1700</v>
      </c>
      <c r="P5" s="3">
        <v>51923.0769</v>
      </c>
    </row>
    <row r="6" spans="1:16" x14ac:dyDescent="0.25">
      <c r="A6" s="2" t="s">
        <v>99</v>
      </c>
      <c r="B6" s="2" t="s">
        <v>7</v>
      </c>
      <c r="C6" s="2" t="s">
        <v>30</v>
      </c>
      <c r="D6" s="2" t="s">
        <v>215</v>
      </c>
      <c r="E6" s="2" t="s">
        <v>221</v>
      </c>
      <c r="F6" s="4">
        <v>84000000</v>
      </c>
      <c r="G6" s="3">
        <v>2100</v>
      </c>
      <c r="H6" s="2" t="s">
        <v>219</v>
      </c>
      <c r="I6" s="3">
        <v>4300</v>
      </c>
      <c r="J6" s="2" t="s">
        <v>219</v>
      </c>
      <c r="K6" s="2" t="s">
        <v>219</v>
      </c>
      <c r="L6" s="3">
        <v>2900</v>
      </c>
      <c r="M6" s="4">
        <v>3</v>
      </c>
      <c r="N6" s="3">
        <v>4600000000000</v>
      </c>
      <c r="O6" s="3">
        <v>1400</v>
      </c>
      <c r="P6" s="3">
        <v>54761.904799999997</v>
      </c>
    </row>
    <row r="7" spans="1:16" x14ac:dyDescent="0.25">
      <c r="A7" s="2" t="s">
        <v>38</v>
      </c>
      <c r="B7" s="2" t="s">
        <v>7</v>
      </c>
      <c r="C7" s="2" t="s">
        <v>30</v>
      </c>
      <c r="D7" s="2" t="s">
        <v>215</v>
      </c>
      <c r="E7" s="2" t="s">
        <v>221</v>
      </c>
      <c r="F7" s="4">
        <v>11700000</v>
      </c>
      <c r="G7" s="3">
        <v>2000</v>
      </c>
      <c r="H7" s="2" t="s">
        <v>219</v>
      </c>
      <c r="I7" s="3">
        <v>3900</v>
      </c>
      <c r="J7" s="2" t="s">
        <v>219</v>
      </c>
      <c r="K7" s="2" t="s">
        <v>219</v>
      </c>
      <c r="L7" s="3">
        <v>2600</v>
      </c>
      <c r="M7" s="4">
        <v>3</v>
      </c>
      <c r="N7" s="3">
        <v>780000000000</v>
      </c>
      <c r="O7" s="3">
        <v>1300</v>
      </c>
      <c r="P7" s="3">
        <v>66666.666700000002</v>
      </c>
    </row>
    <row r="8" spans="1:16" x14ac:dyDescent="0.25">
      <c r="A8" s="2" t="s">
        <v>117</v>
      </c>
      <c r="B8" s="2" t="s">
        <v>7</v>
      </c>
      <c r="C8" s="2" t="s">
        <v>80</v>
      </c>
      <c r="D8" s="2" t="s">
        <v>215</v>
      </c>
      <c r="E8" s="2" t="s">
        <v>221</v>
      </c>
      <c r="F8" s="4">
        <v>5300000</v>
      </c>
      <c r="G8" s="3">
        <v>2000</v>
      </c>
      <c r="H8" s="2" t="s">
        <v>219</v>
      </c>
      <c r="I8" s="3">
        <v>5200</v>
      </c>
      <c r="J8" s="2" t="s">
        <v>219</v>
      </c>
      <c r="K8" s="2" t="s">
        <v>219</v>
      </c>
      <c r="L8" s="3">
        <v>3000</v>
      </c>
      <c r="M8" s="4">
        <v>3</v>
      </c>
      <c r="N8" s="3">
        <v>720000000000</v>
      </c>
      <c r="O8" s="3">
        <v>2200</v>
      </c>
      <c r="P8" s="3">
        <v>135849.05660000001</v>
      </c>
    </row>
    <row r="9" spans="1:16" x14ac:dyDescent="0.25">
      <c r="A9" s="2" t="s">
        <v>155</v>
      </c>
      <c r="B9" s="2" t="s">
        <v>7</v>
      </c>
      <c r="C9" s="2" t="s">
        <v>30</v>
      </c>
      <c r="D9" s="2" t="s">
        <v>215</v>
      </c>
      <c r="E9" s="2" t="s">
        <v>221</v>
      </c>
      <c r="F9" s="4">
        <v>17900000</v>
      </c>
      <c r="G9" s="3">
        <v>2000</v>
      </c>
      <c r="H9" s="2" t="s">
        <v>219</v>
      </c>
      <c r="I9" s="3">
        <v>4800</v>
      </c>
      <c r="J9" s="2" t="s">
        <v>219</v>
      </c>
      <c r="K9" s="2" t="s">
        <v>219</v>
      </c>
      <c r="L9" s="3">
        <v>3000</v>
      </c>
      <c r="M9" s="4">
        <v>3</v>
      </c>
      <c r="N9" s="3">
        <v>1120000000000</v>
      </c>
      <c r="O9" s="3">
        <v>1800</v>
      </c>
      <c r="P9" s="3">
        <v>62569.832399999999</v>
      </c>
    </row>
    <row r="10" spans="1:16" x14ac:dyDescent="0.25">
      <c r="A10" s="2" t="s">
        <v>201</v>
      </c>
      <c r="B10" s="2" t="s">
        <v>7</v>
      </c>
      <c r="C10" s="2" t="s">
        <v>80</v>
      </c>
      <c r="D10" s="2" t="s">
        <v>215</v>
      </c>
      <c r="E10" s="2" t="s">
        <v>221</v>
      </c>
      <c r="F10" s="4">
        <v>68000000</v>
      </c>
      <c r="G10" s="3">
        <v>2000</v>
      </c>
      <c r="H10" s="2" t="s">
        <v>219</v>
      </c>
      <c r="I10" s="3">
        <v>4700</v>
      </c>
      <c r="J10" s="2" t="s">
        <v>219</v>
      </c>
      <c r="K10" s="2" t="s">
        <v>219</v>
      </c>
      <c r="L10" s="3">
        <v>3200</v>
      </c>
      <c r="M10" s="4">
        <v>3</v>
      </c>
      <c r="N10" s="3">
        <v>3100000000000</v>
      </c>
      <c r="O10" s="3">
        <v>1500</v>
      </c>
      <c r="P10" s="3">
        <v>45588.2353</v>
      </c>
    </row>
    <row r="11" spans="1:16" x14ac:dyDescent="0.25">
      <c r="A11" s="2" t="s">
        <v>43</v>
      </c>
      <c r="B11" s="2" t="s">
        <v>19</v>
      </c>
      <c r="C11" s="2" t="s">
        <v>20</v>
      </c>
      <c r="D11" s="2" t="s">
        <v>215</v>
      </c>
      <c r="E11" s="2" t="s">
        <v>221</v>
      </c>
      <c r="F11" s="4">
        <v>64000</v>
      </c>
      <c r="G11" s="3">
        <v>1800</v>
      </c>
      <c r="H11" s="2" t="s">
        <v>219</v>
      </c>
      <c r="I11" s="3">
        <v>5500</v>
      </c>
      <c r="J11" s="2" t="s">
        <v>219</v>
      </c>
      <c r="K11" s="2" t="s">
        <v>219</v>
      </c>
      <c r="L11" s="3">
        <v>3500</v>
      </c>
      <c r="M11" s="4">
        <v>3</v>
      </c>
      <c r="N11" s="3">
        <v>6000000000</v>
      </c>
      <c r="O11" s="3">
        <v>2000</v>
      </c>
      <c r="P11" s="3">
        <v>93750</v>
      </c>
    </row>
    <row r="12" spans="1:16" x14ac:dyDescent="0.25">
      <c r="A12" s="2" t="s">
        <v>95</v>
      </c>
      <c r="B12" s="2" t="s">
        <v>7</v>
      </c>
      <c r="C12" s="2" t="s">
        <v>30</v>
      </c>
      <c r="D12" s="2" t="s">
        <v>215</v>
      </c>
      <c r="E12" s="2" t="s">
        <v>221</v>
      </c>
      <c r="F12" s="4">
        <v>68000000</v>
      </c>
      <c r="G12" s="3">
        <v>1800</v>
      </c>
      <c r="H12" s="2" t="s">
        <v>219</v>
      </c>
      <c r="I12" s="3">
        <v>3600</v>
      </c>
      <c r="J12" s="2" t="s">
        <v>219</v>
      </c>
      <c r="K12" s="2" t="s">
        <v>219</v>
      </c>
      <c r="L12" s="3">
        <v>2800</v>
      </c>
      <c r="M12" s="4">
        <v>3</v>
      </c>
      <c r="N12" s="3">
        <v>3100000000000</v>
      </c>
      <c r="O12" s="3">
        <v>800</v>
      </c>
      <c r="P12" s="3">
        <v>45588.2353</v>
      </c>
    </row>
    <row r="13" spans="1:16" x14ac:dyDescent="0.25">
      <c r="A13" s="2" t="s">
        <v>178</v>
      </c>
      <c r="B13" s="2" t="s">
        <v>4</v>
      </c>
      <c r="C13" s="2" t="s">
        <v>51</v>
      </c>
      <c r="D13" s="2" t="s">
        <v>215</v>
      </c>
      <c r="E13" s="2" t="s">
        <v>221</v>
      </c>
      <c r="F13" s="4">
        <v>5900000</v>
      </c>
      <c r="G13" s="3">
        <v>1800</v>
      </c>
      <c r="H13" s="2" t="s">
        <v>219</v>
      </c>
      <c r="I13" s="3">
        <v>5500</v>
      </c>
      <c r="J13" s="2" t="s">
        <v>219</v>
      </c>
      <c r="K13" s="2" t="s">
        <v>219</v>
      </c>
      <c r="L13" s="3">
        <v>3500</v>
      </c>
      <c r="M13" s="4">
        <v>3</v>
      </c>
      <c r="N13" s="3">
        <v>540000000000</v>
      </c>
      <c r="O13" s="3">
        <v>2000</v>
      </c>
      <c r="P13" s="3">
        <v>91525.423699999999</v>
      </c>
    </row>
    <row r="14" spans="1:16" x14ac:dyDescent="0.25">
      <c r="A14" s="2" t="s">
        <v>118</v>
      </c>
      <c r="B14" s="2" t="s">
        <v>4</v>
      </c>
      <c r="C14" s="2" t="s">
        <v>25</v>
      </c>
      <c r="D14" s="2" t="s">
        <v>215</v>
      </c>
      <c r="E14" s="2" t="s">
        <v>221</v>
      </c>
      <c r="F14" s="4">
        <v>9800000</v>
      </c>
      <c r="G14" s="3">
        <v>1700</v>
      </c>
      <c r="H14" s="2" t="s">
        <v>219</v>
      </c>
      <c r="I14" s="3">
        <v>4800</v>
      </c>
      <c r="J14" s="2" t="s">
        <v>219</v>
      </c>
      <c r="K14" s="2" t="s">
        <v>219</v>
      </c>
      <c r="L14" s="3">
        <v>3500</v>
      </c>
      <c r="M14" s="4">
        <v>3</v>
      </c>
      <c r="N14" s="3">
        <v>610000000000</v>
      </c>
      <c r="O14" s="3">
        <v>1300</v>
      </c>
      <c r="P14" s="3">
        <v>62244.898000000001</v>
      </c>
    </row>
    <row r="15" spans="1:16" x14ac:dyDescent="0.25">
      <c r="A15" s="2" t="s">
        <v>128</v>
      </c>
      <c r="B15" s="2" t="s">
        <v>4</v>
      </c>
      <c r="C15" s="2" t="s">
        <v>67</v>
      </c>
      <c r="D15" s="2" t="s">
        <v>215</v>
      </c>
      <c r="E15" s="2" t="s">
        <v>221</v>
      </c>
      <c r="F15" s="4">
        <v>52000000</v>
      </c>
      <c r="G15" s="3">
        <v>1700</v>
      </c>
      <c r="H15" s="2" t="s">
        <v>219</v>
      </c>
      <c r="I15" s="3">
        <v>4000</v>
      </c>
      <c r="J15" s="2" t="s">
        <v>219</v>
      </c>
      <c r="K15" s="2" t="s">
        <v>219</v>
      </c>
      <c r="L15" s="3">
        <v>2800</v>
      </c>
      <c r="M15" s="4">
        <v>3</v>
      </c>
      <c r="N15" s="3">
        <v>1850000000000</v>
      </c>
      <c r="O15" s="3">
        <v>1200</v>
      </c>
      <c r="P15" s="3">
        <v>35576.9231</v>
      </c>
    </row>
    <row r="16" spans="1:16" x14ac:dyDescent="0.25">
      <c r="A16" s="2" t="s">
        <v>15</v>
      </c>
      <c r="B16" s="2" t="s">
        <v>7</v>
      </c>
      <c r="C16" s="2" t="s">
        <v>8</v>
      </c>
      <c r="D16" s="2" t="s">
        <v>215</v>
      </c>
      <c r="E16" s="2" t="s">
        <v>221</v>
      </c>
      <c r="F16" s="4">
        <v>80000</v>
      </c>
      <c r="G16" s="3">
        <v>1600</v>
      </c>
      <c r="H16" s="2" t="s">
        <v>219</v>
      </c>
      <c r="I16" s="3">
        <v>3200</v>
      </c>
      <c r="J16" s="2" t="s">
        <v>220</v>
      </c>
      <c r="K16" s="2" t="s">
        <v>219</v>
      </c>
      <c r="L16" s="3">
        <v>2200</v>
      </c>
      <c r="M16" s="4">
        <v>3</v>
      </c>
      <c r="N16" s="3">
        <v>3000000000</v>
      </c>
      <c r="O16" s="3">
        <v>1000</v>
      </c>
      <c r="P16" s="3">
        <v>37500</v>
      </c>
    </row>
    <row r="17" spans="1:16" x14ac:dyDescent="0.25">
      <c r="A17" s="2" t="s">
        <v>62</v>
      </c>
      <c r="B17" s="2" t="s">
        <v>19</v>
      </c>
      <c r="C17" s="2" t="s">
        <v>20</v>
      </c>
      <c r="D17" s="2" t="s">
        <v>215</v>
      </c>
      <c r="E17" s="2" t="s">
        <v>221</v>
      </c>
      <c r="F17" s="4">
        <v>85000</v>
      </c>
      <c r="G17" s="3">
        <v>1600</v>
      </c>
      <c r="H17" s="2" t="s">
        <v>219</v>
      </c>
      <c r="I17" s="3">
        <v>4500</v>
      </c>
      <c r="J17" s="2" t="s">
        <v>219</v>
      </c>
      <c r="K17" s="2" t="s">
        <v>219</v>
      </c>
      <c r="L17" s="3">
        <v>3200</v>
      </c>
      <c r="M17" s="4">
        <v>3</v>
      </c>
      <c r="N17" s="3">
        <v>6000000000</v>
      </c>
      <c r="O17" s="3">
        <v>1300</v>
      </c>
      <c r="P17" s="3">
        <v>70588.2353</v>
      </c>
    </row>
    <row r="18" spans="1:16" x14ac:dyDescent="0.25">
      <c r="A18" s="2" t="s">
        <v>129</v>
      </c>
      <c r="B18" s="2" t="s">
        <v>4</v>
      </c>
      <c r="C18" s="2" t="s">
        <v>25</v>
      </c>
      <c r="D18" s="2" t="s">
        <v>215</v>
      </c>
      <c r="E18" s="2" t="s">
        <v>221</v>
      </c>
      <c r="F18" s="4">
        <v>4300000</v>
      </c>
      <c r="G18" s="3">
        <v>1600</v>
      </c>
      <c r="H18" s="2" t="s">
        <v>219</v>
      </c>
      <c r="I18" s="3">
        <v>4800</v>
      </c>
      <c r="J18" s="2" t="s">
        <v>219</v>
      </c>
      <c r="K18" s="2" t="s">
        <v>220</v>
      </c>
      <c r="L18" s="3">
        <v>2500</v>
      </c>
      <c r="M18" s="4">
        <v>2</v>
      </c>
      <c r="N18" s="3">
        <v>230000000000</v>
      </c>
      <c r="O18" s="3">
        <v>2300</v>
      </c>
      <c r="P18" s="3">
        <v>53488.372100000001</v>
      </c>
    </row>
    <row r="19" spans="1:16" x14ac:dyDescent="0.25">
      <c r="A19" s="2" t="s">
        <v>170</v>
      </c>
      <c r="B19" s="2" t="s">
        <v>4</v>
      </c>
      <c r="C19" s="2" t="s">
        <v>25</v>
      </c>
      <c r="D19" s="2" t="s">
        <v>215</v>
      </c>
      <c r="E19" s="2" t="s">
        <v>221</v>
      </c>
      <c r="F19" s="4">
        <v>3000000</v>
      </c>
      <c r="G19" s="3">
        <v>1600</v>
      </c>
      <c r="H19" s="2" t="s">
        <v>219</v>
      </c>
      <c r="I19" s="3">
        <v>5000</v>
      </c>
      <c r="J19" s="2" t="s">
        <v>219</v>
      </c>
      <c r="K19" s="2" t="s">
        <v>220</v>
      </c>
      <c r="L19" s="3">
        <v>2800</v>
      </c>
      <c r="M19" s="4">
        <v>2</v>
      </c>
      <c r="N19" s="3">
        <v>250000000000</v>
      </c>
      <c r="O19" s="3">
        <v>2200</v>
      </c>
      <c r="P19" s="3">
        <v>83333.333299999998</v>
      </c>
    </row>
    <row r="20" spans="1:16" x14ac:dyDescent="0.25">
      <c r="A20" s="2" t="s">
        <v>121</v>
      </c>
      <c r="B20" s="2" t="s">
        <v>4</v>
      </c>
      <c r="C20" s="2" t="s">
        <v>67</v>
      </c>
      <c r="D20" s="2" t="s">
        <v>215</v>
      </c>
      <c r="E20" s="2" t="s">
        <v>221</v>
      </c>
      <c r="F20" s="4">
        <v>123000000</v>
      </c>
      <c r="G20" s="3">
        <v>1500</v>
      </c>
      <c r="H20" s="2" t="s">
        <v>219</v>
      </c>
      <c r="I20" s="3">
        <v>4200</v>
      </c>
      <c r="J20" s="2" t="s">
        <v>219</v>
      </c>
      <c r="K20" s="2" t="s">
        <v>219</v>
      </c>
      <c r="L20" s="3">
        <v>3200</v>
      </c>
      <c r="M20" s="4">
        <v>3</v>
      </c>
      <c r="N20" s="3">
        <v>4300000000000</v>
      </c>
      <c r="O20" s="3">
        <v>1000</v>
      </c>
      <c r="P20" s="3">
        <v>34959.349600000001</v>
      </c>
    </row>
    <row r="21" spans="1:16" x14ac:dyDescent="0.25">
      <c r="A21" s="2" t="s">
        <v>174</v>
      </c>
      <c r="B21" s="2" t="s">
        <v>4</v>
      </c>
      <c r="C21" s="2" t="s">
        <v>25</v>
      </c>
      <c r="D21" s="2" t="s">
        <v>215</v>
      </c>
      <c r="E21" s="2" t="s">
        <v>221</v>
      </c>
      <c r="F21" s="4">
        <v>36000000</v>
      </c>
      <c r="G21" s="3">
        <v>1500</v>
      </c>
      <c r="H21" s="2" t="s">
        <v>219</v>
      </c>
      <c r="I21" s="3">
        <v>4500</v>
      </c>
      <c r="J21" s="2" t="s">
        <v>219</v>
      </c>
      <c r="K21" s="2" t="s">
        <v>224</v>
      </c>
      <c r="L21" s="3">
        <v>2500</v>
      </c>
      <c r="M21" s="4">
        <v>2</v>
      </c>
      <c r="N21" s="3">
        <v>1150000000000</v>
      </c>
      <c r="O21" s="3">
        <v>2000</v>
      </c>
      <c r="P21" s="3">
        <v>31944.4444</v>
      </c>
    </row>
    <row r="22" spans="1:16" x14ac:dyDescent="0.25">
      <c r="A22" s="2" t="s">
        <v>200</v>
      </c>
      <c r="B22" s="2" t="s">
        <v>4</v>
      </c>
      <c r="C22" s="2" t="s">
        <v>25</v>
      </c>
      <c r="D22" s="2" t="s">
        <v>215</v>
      </c>
      <c r="E22" s="2" t="s">
        <v>221</v>
      </c>
      <c r="F22" s="4">
        <v>10000000</v>
      </c>
      <c r="G22" s="3">
        <v>1500</v>
      </c>
      <c r="H22" s="2" t="s">
        <v>219</v>
      </c>
      <c r="I22" s="3">
        <v>5000</v>
      </c>
      <c r="J22" s="2" t="s">
        <v>219</v>
      </c>
      <c r="K22" s="2" t="s">
        <v>220</v>
      </c>
      <c r="L22" s="3">
        <v>2800</v>
      </c>
      <c r="M22" s="4">
        <v>2</v>
      </c>
      <c r="N22" s="3">
        <v>610000000000</v>
      </c>
      <c r="O22" s="3">
        <v>2200</v>
      </c>
      <c r="P22" s="3">
        <v>61000</v>
      </c>
    </row>
    <row r="23" spans="1:16" x14ac:dyDescent="0.25">
      <c r="A23" s="2" t="s">
        <v>202</v>
      </c>
      <c r="B23" s="2" t="s">
        <v>19</v>
      </c>
      <c r="C23" s="2" t="s">
        <v>60</v>
      </c>
      <c r="D23" s="2" t="s">
        <v>215</v>
      </c>
      <c r="E23" s="2" t="s">
        <v>221</v>
      </c>
      <c r="F23" s="4">
        <v>340000000</v>
      </c>
      <c r="G23" s="3">
        <v>1250</v>
      </c>
      <c r="H23" s="2" t="s">
        <v>219</v>
      </c>
      <c r="I23" s="3">
        <v>5000</v>
      </c>
      <c r="J23" s="2" t="s">
        <v>219</v>
      </c>
      <c r="K23" s="2" t="s">
        <v>219</v>
      </c>
      <c r="L23" s="3">
        <v>3500</v>
      </c>
      <c r="M23" s="4">
        <v>3</v>
      </c>
      <c r="N23" s="3">
        <v>29000000000000</v>
      </c>
      <c r="O23" s="3">
        <v>1500</v>
      </c>
      <c r="P23" s="3">
        <v>85294.117599999998</v>
      </c>
    </row>
    <row r="24" spans="1:16" x14ac:dyDescent="0.25">
      <c r="A24" s="2" t="s">
        <v>12</v>
      </c>
      <c r="B24" s="2" t="s">
        <v>13</v>
      </c>
      <c r="C24" s="2" t="s">
        <v>14</v>
      </c>
      <c r="D24" s="2" t="s">
        <v>214</v>
      </c>
      <c r="E24" s="2" t="s">
        <v>220</v>
      </c>
      <c r="F24" s="4">
        <v>50000</v>
      </c>
      <c r="G24" s="3">
        <v>1200</v>
      </c>
      <c r="H24" s="2" t="s">
        <v>220</v>
      </c>
      <c r="I24" s="3">
        <v>2900</v>
      </c>
      <c r="J24" s="2" t="s">
        <v>220</v>
      </c>
      <c r="K24" s="2" t="s">
        <v>220</v>
      </c>
      <c r="L24" s="3">
        <v>1800</v>
      </c>
      <c r="M24" s="4">
        <v>3</v>
      </c>
      <c r="N24" s="3">
        <v>1000000000</v>
      </c>
      <c r="O24" s="3">
        <v>1100</v>
      </c>
      <c r="P24" s="3">
        <v>20000</v>
      </c>
    </row>
    <row r="25" spans="1:16" x14ac:dyDescent="0.25">
      <c r="A25" s="2" t="s">
        <v>183</v>
      </c>
      <c r="B25" s="2" t="s">
        <v>7</v>
      </c>
      <c r="C25" s="2" t="s">
        <v>8</v>
      </c>
      <c r="D25" s="2" t="s">
        <v>215</v>
      </c>
      <c r="E25" s="2" t="s">
        <v>221</v>
      </c>
      <c r="F25" s="4">
        <v>48000000</v>
      </c>
      <c r="G25" s="3">
        <v>1200</v>
      </c>
      <c r="H25" s="2" t="s">
        <v>219</v>
      </c>
      <c r="I25" s="3">
        <v>2700</v>
      </c>
      <c r="J25" s="2" t="s">
        <v>219</v>
      </c>
      <c r="K25" s="2" t="s">
        <v>220</v>
      </c>
      <c r="L25" s="3">
        <v>2200</v>
      </c>
      <c r="M25" s="4">
        <v>3</v>
      </c>
      <c r="N25" s="3">
        <v>1750000000000</v>
      </c>
      <c r="O25" s="3">
        <v>500</v>
      </c>
      <c r="P25" s="3">
        <v>36458.333299999998</v>
      </c>
    </row>
    <row r="26" spans="1:16" x14ac:dyDescent="0.25">
      <c r="A26" s="2" t="s">
        <v>161</v>
      </c>
      <c r="B26" s="2" t="s">
        <v>4</v>
      </c>
      <c r="C26" s="2" t="s">
        <v>25</v>
      </c>
      <c r="D26" s="2" t="s">
        <v>215</v>
      </c>
      <c r="E26" s="2" t="s">
        <v>221</v>
      </c>
      <c r="F26" s="4">
        <v>5000000</v>
      </c>
      <c r="G26" s="3">
        <v>1100</v>
      </c>
      <c r="H26" s="2" t="s">
        <v>220</v>
      </c>
      <c r="I26" s="3">
        <v>3200</v>
      </c>
      <c r="J26" s="2" t="s">
        <v>220</v>
      </c>
      <c r="K26" s="2" t="s">
        <v>224</v>
      </c>
      <c r="L26" s="3">
        <v>2000</v>
      </c>
      <c r="M26" s="4">
        <v>2</v>
      </c>
      <c r="N26" s="3">
        <v>130000000000</v>
      </c>
      <c r="O26" s="3">
        <v>1200</v>
      </c>
      <c r="P26" s="3">
        <v>26000</v>
      </c>
    </row>
    <row r="27" spans="1:16" x14ac:dyDescent="0.25">
      <c r="A27" s="2" t="s">
        <v>180</v>
      </c>
      <c r="B27" s="2" t="s">
        <v>7</v>
      </c>
      <c r="C27" s="2" t="s">
        <v>8</v>
      </c>
      <c r="D27" s="2" t="s">
        <v>215</v>
      </c>
      <c r="E27" s="2" t="s">
        <v>221</v>
      </c>
      <c r="F27" s="4">
        <v>2100000</v>
      </c>
      <c r="G27" s="3">
        <v>1100</v>
      </c>
      <c r="H27" s="2" t="s">
        <v>220</v>
      </c>
      <c r="I27" s="3">
        <v>2400</v>
      </c>
      <c r="J27" s="2" t="s">
        <v>224</v>
      </c>
      <c r="K27" s="2" t="s">
        <v>220</v>
      </c>
      <c r="L27" s="3">
        <v>1800</v>
      </c>
      <c r="M27" s="4">
        <v>3</v>
      </c>
      <c r="N27" s="3">
        <v>78000000000</v>
      </c>
      <c r="O27" s="3">
        <v>600</v>
      </c>
      <c r="P27" s="3">
        <v>37142.857100000001</v>
      </c>
    </row>
    <row r="28" spans="1:16" x14ac:dyDescent="0.25">
      <c r="A28" s="2" t="s">
        <v>18</v>
      </c>
      <c r="B28" s="2" t="s">
        <v>19</v>
      </c>
      <c r="C28" s="2" t="s">
        <v>20</v>
      </c>
      <c r="D28" s="2" t="s">
        <v>214</v>
      </c>
      <c r="E28" s="2" t="s">
        <v>220</v>
      </c>
      <c r="F28" s="4">
        <v>15000</v>
      </c>
      <c r="G28" s="3">
        <v>1000</v>
      </c>
      <c r="H28" s="2" t="s">
        <v>220</v>
      </c>
      <c r="I28" s="3">
        <v>2600</v>
      </c>
      <c r="J28" s="2" t="s">
        <v>220</v>
      </c>
      <c r="K28" s="2" t="s">
        <v>220</v>
      </c>
      <c r="L28" s="3">
        <v>2200</v>
      </c>
      <c r="M28" s="4">
        <v>3</v>
      </c>
      <c r="N28" s="3">
        <v>1000000000</v>
      </c>
      <c r="O28" s="3">
        <v>400</v>
      </c>
      <c r="P28" s="3">
        <v>66666.666700000002</v>
      </c>
    </row>
    <row r="29" spans="1:16" x14ac:dyDescent="0.25">
      <c r="A29" s="2" t="s">
        <v>33</v>
      </c>
      <c r="B29" s="2" t="s">
        <v>4</v>
      </c>
      <c r="C29" s="2" t="s">
        <v>25</v>
      </c>
      <c r="D29" s="2" t="s">
        <v>215</v>
      </c>
      <c r="E29" s="2" t="s">
        <v>221</v>
      </c>
      <c r="F29" s="4">
        <v>1700000</v>
      </c>
      <c r="G29" s="3">
        <v>1000</v>
      </c>
      <c r="H29" s="2" t="s">
        <v>220</v>
      </c>
      <c r="I29" s="3">
        <v>3200</v>
      </c>
      <c r="J29" s="2" t="s">
        <v>220</v>
      </c>
      <c r="K29" s="2" t="s">
        <v>220</v>
      </c>
      <c r="L29" s="3">
        <v>1800</v>
      </c>
      <c r="M29" s="4">
        <v>2</v>
      </c>
      <c r="N29" s="3">
        <v>60000000000</v>
      </c>
      <c r="O29" s="3">
        <v>1400</v>
      </c>
      <c r="P29" s="3">
        <v>35294.117599999998</v>
      </c>
    </row>
    <row r="30" spans="1:16" x14ac:dyDescent="0.25">
      <c r="A30" s="2" t="s">
        <v>77</v>
      </c>
      <c r="B30" s="2" t="s">
        <v>7</v>
      </c>
      <c r="C30" s="2" t="s">
        <v>8</v>
      </c>
      <c r="D30" s="2" t="s">
        <v>215</v>
      </c>
      <c r="E30" s="2" t="s">
        <v>221</v>
      </c>
      <c r="F30" s="4">
        <v>1300000</v>
      </c>
      <c r="G30" s="3">
        <v>1000</v>
      </c>
      <c r="H30" s="2" t="s">
        <v>220</v>
      </c>
      <c r="I30" s="3">
        <v>2600</v>
      </c>
      <c r="J30" s="2" t="s">
        <v>220</v>
      </c>
      <c r="K30" s="2" t="s">
        <v>220</v>
      </c>
      <c r="L30" s="3">
        <v>1800</v>
      </c>
      <c r="M30" s="4">
        <v>3</v>
      </c>
      <c r="N30" s="3">
        <v>50000000000</v>
      </c>
      <c r="O30" s="3">
        <v>800</v>
      </c>
      <c r="P30" s="3">
        <v>38461.538500000002</v>
      </c>
    </row>
    <row r="31" spans="1:16" x14ac:dyDescent="0.25">
      <c r="A31" s="2" t="s">
        <v>90</v>
      </c>
      <c r="B31" s="2" t="s">
        <v>7</v>
      </c>
      <c r="C31" s="2" t="s">
        <v>80</v>
      </c>
      <c r="D31" s="2" t="s">
        <v>215</v>
      </c>
      <c r="E31" s="2" t="s">
        <v>221</v>
      </c>
      <c r="F31" s="4">
        <v>1300000</v>
      </c>
      <c r="G31" s="3">
        <v>1000</v>
      </c>
      <c r="H31" s="2" t="s">
        <v>220</v>
      </c>
      <c r="I31" s="3">
        <v>2300</v>
      </c>
      <c r="J31" s="2" t="s">
        <v>224</v>
      </c>
      <c r="K31" s="2" t="s">
        <v>220</v>
      </c>
      <c r="L31" s="3">
        <v>1700</v>
      </c>
      <c r="M31" s="4">
        <v>4</v>
      </c>
      <c r="N31" s="3">
        <v>55000000000</v>
      </c>
      <c r="O31" s="3">
        <v>600</v>
      </c>
      <c r="P31" s="3">
        <v>42307.692300000002</v>
      </c>
    </row>
    <row r="32" spans="1:16" x14ac:dyDescent="0.25">
      <c r="A32" s="2" t="s">
        <v>145</v>
      </c>
      <c r="B32" s="2" t="s">
        <v>7</v>
      </c>
      <c r="C32" s="2" t="s">
        <v>8</v>
      </c>
      <c r="D32" s="2" t="s">
        <v>215</v>
      </c>
      <c r="E32" s="2" t="s">
        <v>221</v>
      </c>
      <c r="F32" s="4">
        <v>540000</v>
      </c>
      <c r="G32" s="3">
        <v>1000</v>
      </c>
      <c r="H32" s="2" t="s">
        <v>220</v>
      </c>
      <c r="I32" s="3">
        <v>2800</v>
      </c>
      <c r="J32" s="2" t="s">
        <v>220</v>
      </c>
      <c r="K32" s="2" t="s">
        <v>220</v>
      </c>
      <c r="L32" s="3">
        <v>2000</v>
      </c>
      <c r="M32" s="4">
        <v>3</v>
      </c>
      <c r="N32" s="3">
        <v>65000000000</v>
      </c>
      <c r="O32" s="3">
        <v>800</v>
      </c>
      <c r="P32" s="3">
        <v>120370.3704</v>
      </c>
    </row>
    <row r="33" spans="1:16" x14ac:dyDescent="0.25">
      <c r="A33" s="2" t="s">
        <v>169</v>
      </c>
      <c r="B33" s="2" t="s">
        <v>7</v>
      </c>
      <c r="C33" s="2" t="s">
        <v>8</v>
      </c>
      <c r="D33" s="2" t="s">
        <v>215</v>
      </c>
      <c r="E33" s="2" t="s">
        <v>221</v>
      </c>
      <c r="F33" s="4">
        <v>10200000</v>
      </c>
      <c r="G33" s="3">
        <v>1000</v>
      </c>
      <c r="H33" s="2" t="s">
        <v>220</v>
      </c>
      <c r="I33" s="3">
        <v>2200</v>
      </c>
      <c r="J33" s="2" t="s">
        <v>224</v>
      </c>
      <c r="K33" s="2" t="s">
        <v>220</v>
      </c>
      <c r="L33" s="3">
        <v>1900</v>
      </c>
      <c r="M33" s="4">
        <v>3</v>
      </c>
      <c r="N33" s="3">
        <v>310000000000</v>
      </c>
      <c r="O33" s="3">
        <v>300</v>
      </c>
      <c r="P33" s="3">
        <v>30392.156900000002</v>
      </c>
    </row>
    <row r="34" spans="1:16" x14ac:dyDescent="0.25">
      <c r="A34" s="2" t="s">
        <v>101</v>
      </c>
      <c r="B34" s="2" t="s">
        <v>7</v>
      </c>
      <c r="C34" s="2" t="s">
        <v>8</v>
      </c>
      <c r="D34" s="2" t="s">
        <v>215</v>
      </c>
      <c r="E34" s="2" t="s">
        <v>221</v>
      </c>
      <c r="F34" s="4">
        <v>10300000</v>
      </c>
      <c r="G34" s="3">
        <v>950</v>
      </c>
      <c r="H34" s="2" t="s">
        <v>220</v>
      </c>
      <c r="I34" s="3">
        <v>1800</v>
      </c>
      <c r="J34" s="2" t="s">
        <v>224</v>
      </c>
      <c r="K34" s="2" t="s">
        <v>220</v>
      </c>
      <c r="L34" s="3">
        <v>1600</v>
      </c>
      <c r="M34" s="4">
        <v>3</v>
      </c>
      <c r="N34" s="3">
        <v>290000000000</v>
      </c>
      <c r="O34" s="3">
        <v>200</v>
      </c>
      <c r="P34" s="3">
        <v>28155.339800000002</v>
      </c>
    </row>
    <row r="35" spans="1:16" x14ac:dyDescent="0.25">
      <c r="A35" s="2" t="s">
        <v>168</v>
      </c>
      <c r="B35" s="2" t="s">
        <v>7</v>
      </c>
      <c r="C35" s="2" t="s">
        <v>37</v>
      </c>
      <c r="D35" s="2" t="s">
        <v>215</v>
      </c>
      <c r="E35" s="2" t="s">
        <v>221</v>
      </c>
      <c r="F35" s="4">
        <v>37000000</v>
      </c>
      <c r="G35" s="3">
        <v>950</v>
      </c>
      <c r="H35" s="2" t="s">
        <v>220</v>
      </c>
      <c r="I35" s="3">
        <v>2300</v>
      </c>
      <c r="J35" s="2" t="s">
        <v>224</v>
      </c>
      <c r="K35" s="2" t="s">
        <v>224</v>
      </c>
      <c r="L35" s="3">
        <v>1600</v>
      </c>
      <c r="M35" s="4">
        <v>4</v>
      </c>
      <c r="N35" s="3">
        <v>820000000000</v>
      </c>
      <c r="O35" s="3">
        <v>700</v>
      </c>
      <c r="P35" s="3">
        <v>22162.162199999999</v>
      </c>
    </row>
    <row r="36" spans="1:16" x14ac:dyDescent="0.25">
      <c r="A36" s="2" t="s">
        <v>26</v>
      </c>
      <c r="B36" s="2" t="s">
        <v>19</v>
      </c>
      <c r="C36" s="2" t="s">
        <v>20</v>
      </c>
      <c r="D36" s="2" t="s">
        <v>216</v>
      </c>
      <c r="E36" s="2" t="s">
        <v>222</v>
      </c>
      <c r="F36" s="4">
        <v>110000</v>
      </c>
      <c r="G36" s="3">
        <v>900</v>
      </c>
      <c r="H36" s="2" t="s">
        <v>220</v>
      </c>
      <c r="I36" s="3">
        <v>2400</v>
      </c>
      <c r="J36" s="2" t="s">
        <v>220</v>
      </c>
      <c r="K36" s="2" t="s">
        <v>219</v>
      </c>
      <c r="L36" s="3">
        <v>2400</v>
      </c>
      <c r="M36" s="4">
        <v>4</v>
      </c>
      <c r="N36" s="3">
        <v>4000000000</v>
      </c>
      <c r="O36" s="3">
        <v>0</v>
      </c>
      <c r="P36" s="3">
        <v>36363.636400000003</v>
      </c>
    </row>
    <row r="37" spans="1:16" x14ac:dyDescent="0.25">
      <c r="A37" s="2" t="s">
        <v>32</v>
      </c>
      <c r="B37" s="2" t="s">
        <v>19</v>
      </c>
      <c r="C37" s="2" t="s">
        <v>20</v>
      </c>
      <c r="D37" s="2" t="s">
        <v>216</v>
      </c>
      <c r="E37" s="2" t="s">
        <v>222</v>
      </c>
      <c r="F37" s="4">
        <v>400000</v>
      </c>
      <c r="G37" s="3">
        <v>900</v>
      </c>
      <c r="H37" s="2" t="s">
        <v>220</v>
      </c>
      <c r="I37" s="3">
        <v>2900</v>
      </c>
      <c r="J37" s="2" t="s">
        <v>220</v>
      </c>
      <c r="K37" s="2" t="s">
        <v>219</v>
      </c>
      <c r="L37" s="3">
        <v>2500</v>
      </c>
      <c r="M37" s="4">
        <v>4</v>
      </c>
      <c r="N37" s="3">
        <v>14000000000</v>
      </c>
      <c r="O37" s="3">
        <v>400</v>
      </c>
      <c r="P37" s="3">
        <v>35000</v>
      </c>
    </row>
    <row r="38" spans="1:16" x14ac:dyDescent="0.25">
      <c r="A38" s="2" t="s">
        <v>50</v>
      </c>
      <c r="B38" s="2" t="s">
        <v>4</v>
      </c>
      <c r="C38" s="2" t="s">
        <v>51</v>
      </c>
      <c r="D38" s="2" t="s">
        <v>215</v>
      </c>
      <c r="E38" s="2" t="s">
        <v>221</v>
      </c>
      <c r="F38" s="4">
        <v>450000</v>
      </c>
      <c r="G38" s="3">
        <v>900</v>
      </c>
      <c r="H38" s="2" t="s">
        <v>220</v>
      </c>
      <c r="I38" s="3">
        <v>3200</v>
      </c>
      <c r="J38" s="2" t="s">
        <v>220</v>
      </c>
      <c r="K38" s="2" t="s">
        <v>224</v>
      </c>
      <c r="L38" s="3">
        <v>1600</v>
      </c>
      <c r="M38" s="4">
        <v>1</v>
      </c>
      <c r="N38" s="3">
        <v>16000000000</v>
      </c>
      <c r="O38" s="3">
        <v>1600</v>
      </c>
      <c r="P38" s="3">
        <v>35555.5556</v>
      </c>
    </row>
    <row r="39" spans="1:16" x14ac:dyDescent="0.25">
      <c r="A39" s="2" t="s">
        <v>75</v>
      </c>
      <c r="B39" s="2" t="s">
        <v>7</v>
      </c>
      <c r="C39" s="2" t="s">
        <v>8</v>
      </c>
      <c r="D39" s="2" t="s">
        <v>215</v>
      </c>
      <c r="E39" s="2" t="s">
        <v>221</v>
      </c>
      <c r="F39" s="4">
        <v>3800000</v>
      </c>
      <c r="G39" s="3">
        <v>900</v>
      </c>
      <c r="H39" s="2" t="s">
        <v>220</v>
      </c>
      <c r="I39" s="3">
        <v>1800</v>
      </c>
      <c r="J39" s="2" t="s">
        <v>224</v>
      </c>
      <c r="K39" s="2" t="s">
        <v>220</v>
      </c>
      <c r="L39" s="3">
        <v>1400</v>
      </c>
      <c r="M39" s="4">
        <v>4</v>
      </c>
      <c r="N39" s="3">
        <v>95000000000</v>
      </c>
      <c r="O39" s="3">
        <v>400</v>
      </c>
      <c r="P39" s="3">
        <v>25000</v>
      </c>
    </row>
    <row r="40" spans="1:16" x14ac:dyDescent="0.25">
      <c r="A40" s="2" t="s">
        <v>78</v>
      </c>
      <c r="B40" s="2" t="s">
        <v>7</v>
      </c>
      <c r="C40" s="2" t="s">
        <v>37</v>
      </c>
      <c r="D40" s="2" t="s">
        <v>215</v>
      </c>
      <c r="E40" s="2" t="s">
        <v>221</v>
      </c>
      <c r="F40" s="4">
        <v>10700000</v>
      </c>
      <c r="G40" s="3">
        <v>900</v>
      </c>
      <c r="H40" s="2" t="s">
        <v>220</v>
      </c>
      <c r="I40" s="3">
        <v>2100</v>
      </c>
      <c r="J40" s="2" t="s">
        <v>224</v>
      </c>
      <c r="K40" s="2" t="s">
        <v>224</v>
      </c>
      <c r="L40" s="3">
        <v>1600</v>
      </c>
      <c r="M40" s="4">
        <v>3</v>
      </c>
      <c r="N40" s="3">
        <v>370000000000</v>
      </c>
      <c r="O40" s="3">
        <v>500</v>
      </c>
      <c r="P40" s="3">
        <v>34579.439299999998</v>
      </c>
    </row>
    <row r="41" spans="1:16" x14ac:dyDescent="0.25">
      <c r="A41" s="2" t="s">
        <v>110</v>
      </c>
      <c r="B41" s="2" t="s">
        <v>4</v>
      </c>
      <c r="C41" s="2" t="s">
        <v>67</v>
      </c>
      <c r="D41" s="2" t="s">
        <v>215</v>
      </c>
      <c r="E41" s="2" t="s">
        <v>221</v>
      </c>
      <c r="F41" s="4">
        <v>7500000</v>
      </c>
      <c r="G41" s="3">
        <v>900</v>
      </c>
      <c r="H41" s="2" t="s">
        <v>220</v>
      </c>
      <c r="I41" s="3">
        <v>3200</v>
      </c>
      <c r="J41" s="2" t="s">
        <v>220</v>
      </c>
      <c r="K41" s="2" t="s">
        <v>219</v>
      </c>
      <c r="L41" s="3">
        <v>3000</v>
      </c>
      <c r="M41" s="4">
        <v>2</v>
      </c>
      <c r="N41" s="3">
        <v>430000000000</v>
      </c>
      <c r="O41" s="3">
        <v>200</v>
      </c>
      <c r="P41" s="3">
        <v>57333.333299999998</v>
      </c>
    </row>
    <row r="42" spans="1:16" x14ac:dyDescent="0.25">
      <c r="A42" s="2" t="s">
        <v>138</v>
      </c>
      <c r="B42" s="2" t="s">
        <v>7</v>
      </c>
      <c r="C42" s="2" t="s">
        <v>80</v>
      </c>
      <c r="D42" s="2" t="s">
        <v>215</v>
      </c>
      <c r="E42" s="2" t="s">
        <v>221</v>
      </c>
      <c r="F42" s="4">
        <v>2800000</v>
      </c>
      <c r="G42" s="3">
        <v>900</v>
      </c>
      <c r="H42" s="2" t="s">
        <v>220</v>
      </c>
      <c r="I42" s="3">
        <v>2100</v>
      </c>
      <c r="J42" s="2" t="s">
        <v>224</v>
      </c>
      <c r="K42" s="2" t="s">
        <v>224</v>
      </c>
      <c r="L42" s="3">
        <v>1500</v>
      </c>
      <c r="M42" s="4">
        <v>4</v>
      </c>
      <c r="N42" s="3">
        <v>90000000000</v>
      </c>
      <c r="O42" s="3">
        <v>600</v>
      </c>
      <c r="P42" s="3">
        <v>32142.857100000001</v>
      </c>
    </row>
    <row r="43" spans="1:16" x14ac:dyDescent="0.25">
      <c r="A43" s="2" t="s">
        <v>171</v>
      </c>
      <c r="B43" s="2" t="s">
        <v>7</v>
      </c>
      <c r="C43" s="2" t="s">
        <v>37</v>
      </c>
      <c r="D43" s="2" t="s">
        <v>215</v>
      </c>
      <c r="E43" s="2" t="s">
        <v>221</v>
      </c>
      <c r="F43" s="4">
        <v>19000000</v>
      </c>
      <c r="G43" s="3">
        <v>900</v>
      </c>
      <c r="H43" s="2" t="s">
        <v>220</v>
      </c>
      <c r="I43" s="3">
        <v>2000</v>
      </c>
      <c r="J43" s="2" t="s">
        <v>224</v>
      </c>
      <c r="K43" s="2" t="s">
        <v>224</v>
      </c>
      <c r="L43" s="3">
        <v>1400</v>
      </c>
      <c r="M43" s="4">
        <v>4</v>
      </c>
      <c r="N43" s="3">
        <v>360000000000</v>
      </c>
      <c r="O43" s="3">
        <v>600</v>
      </c>
      <c r="P43" s="3">
        <v>18947.368399999999</v>
      </c>
    </row>
    <row r="44" spans="1:16" x14ac:dyDescent="0.25">
      <c r="A44" s="2" t="s">
        <v>179</v>
      </c>
      <c r="B44" s="2" t="s">
        <v>7</v>
      </c>
      <c r="C44" s="2" t="s">
        <v>37</v>
      </c>
      <c r="D44" s="2" t="s">
        <v>215</v>
      </c>
      <c r="E44" s="2" t="s">
        <v>221</v>
      </c>
      <c r="F44" s="4">
        <v>5400000</v>
      </c>
      <c r="G44" s="3">
        <v>900</v>
      </c>
      <c r="H44" s="2" t="s">
        <v>220</v>
      </c>
      <c r="I44" s="3">
        <v>2200</v>
      </c>
      <c r="J44" s="2" t="s">
        <v>224</v>
      </c>
      <c r="K44" s="2" t="s">
        <v>224</v>
      </c>
      <c r="L44" s="3">
        <v>1600</v>
      </c>
      <c r="M44" s="4">
        <v>4</v>
      </c>
      <c r="N44" s="3">
        <v>155000000000</v>
      </c>
      <c r="O44" s="3">
        <v>600</v>
      </c>
      <c r="P44" s="3">
        <v>28703.703699999998</v>
      </c>
    </row>
    <row r="45" spans="1:16" x14ac:dyDescent="0.25">
      <c r="A45" s="2" t="s">
        <v>190</v>
      </c>
      <c r="B45" s="2" t="s">
        <v>4</v>
      </c>
      <c r="C45" s="2" t="s">
        <v>67</v>
      </c>
      <c r="D45" s="2" t="s">
        <v>215</v>
      </c>
      <c r="E45" s="2" t="s">
        <v>221</v>
      </c>
      <c r="F45" s="4">
        <v>23000000</v>
      </c>
      <c r="G45" s="3">
        <v>900</v>
      </c>
      <c r="H45" s="2" t="s">
        <v>220</v>
      </c>
      <c r="I45" s="3">
        <v>3000</v>
      </c>
      <c r="J45" s="2" t="s">
        <v>220</v>
      </c>
      <c r="K45" s="2" t="s">
        <v>220</v>
      </c>
      <c r="L45" s="3">
        <v>2200</v>
      </c>
      <c r="M45" s="4">
        <v>3</v>
      </c>
      <c r="N45" s="3">
        <v>860000000000</v>
      </c>
      <c r="O45" s="3">
        <v>800</v>
      </c>
      <c r="P45" s="3">
        <v>37391.304300000003</v>
      </c>
    </row>
    <row r="46" spans="1:16" x14ac:dyDescent="0.25">
      <c r="A46" s="2" t="s">
        <v>111</v>
      </c>
      <c r="B46" s="2" t="s">
        <v>7</v>
      </c>
      <c r="C46" s="2" t="s">
        <v>37</v>
      </c>
      <c r="D46" s="2" t="s">
        <v>215</v>
      </c>
      <c r="E46" s="2" t="s">
        <v>221</v>
      </c>
      <c r="F46" s="4">
        <v>9600000</v>
      </c>
      <c r="G46" s="3">
        <v>800</v>
      </c>
      <c r="H46" s="2" t="s">
        <v>220</v>
      </c>
      <c r="I46" s="3">
        <v>1900</v>
      </c>
      <c r="J46" s="2" t="s">
        <v>224</v>
      </c>
      <c r="K46" s="2" t="s">
        <v>224</v>
      </c>
      <c r="L46" s="3">
        <v>1500</v>
      </c>
      <c r="M46" s="4">
        <v>4</v>
      </c>
      <c r="N46" s="3">
        <v>300000000000</v>
      </c>
      <c r="O46" s="3">
        <v>400</v>
      </c>
      <c r="P46" s="3">
        <v>31250</v>
      </c>
    </row>
    <row r="47" spans="1:16" x14ac:dyDescent="0.25">
      <c r="A47" s="2" t="s">
        <v>132</v>
      </c>
      <c r="B47" s="2" t="s">
        <v>7</v>
      </c>
      <c r="C47" s="2" t="s">
        <v>80</v>
      </c>
      <c r="D47" s="2" t="s">
        <v>215</v>
      </c>
      <c r="E47" s="2" t="s">
        <v>221</v>
      </c>
      <c r="F47" s="4">
        <v>1800000</v>
      </c>
      <c r="G47" s="3">
        <v>800</v>
      </c>
      <c r="H47" s="2" t="s">
        <v>220</v>
      </c>
      <c r="I47" s="3">
        <v>2000</v>
      </c>
      <c r="J47" s="2" t="s">
        <v>224</v>
      </c>
      <c r="K47" s="2" t="s">
        <v>224</v>
      </c>
      <c r="L47" s="3">
        <v>1400</v>
      </c>
      <c r="M47" s="4">
        <v>4</v>
      </c>
      <c r="N47" s="3">
        <v>60000000000</v>
      </c>
      <c r="O47" s="3">
        <v>600</v>
      </c>
      <c r="P47" s="3">
        <v>33333.333299999998</v>
      </c>
    </row>
    <row r="48" spans="1:16" x14ac:dyDescent="0.25">
      <c r="A48" s="2" t="s">
        <v>35</v>
      </c>
      <c r="B48" s="2" t="s">
        <v>19</v>
      </c>
      <c r="C48" s="2" t="s">
        <v>20</v>
      </c>
      <c r="D48" s="2" t="s">
        <v>216</v>
      </c>
      <c r="E48" s="2" t="s">
        <v>222</v>
      </c>
      <c r="F48" s="4">
        <v>280000</v>
      </c>
      <c r="G48" s="3">
        <v>700</v>
      </c>
      <c r="H48" s="2" t="s">
        <v>220</v>
      </c>
      <c r="I48" s="3">
        <v>2200</v>
      </c>
      <c r="J48" s="2" t="s">
        <v>220</v>
      </c>
      <c r="K48" s="2" t="s">
        <v>220</v>
      </c>
      <c r="L48" s="3">
        <v>2100</v>
      </c>
      <c r="M48" s="4">
        <v>4</v>
      </c>
      <c r="N48" s="3">
        <v>7000000000</v>
      </c>
      <c r="O48" s="3">
        <v>100</v>
      </c>
      <c r="P48" s="3">
        <v>25000</v>
      </c>
    </row>
    <row r="49" spans="1:16" x14ac:dyDescent="0.25">
      <c r="A49" s="2" t="s">
        <v>73</v>
      </c>
      <c r="B49" s="2" t="s">
        <v>19</v>
      </c>
      <c r="C49" s="2" t="s">
        <v>40</v>
      </c>
      <c r="D49" s="2" t="s">
        <v>216</v>
      </c>
      <c r="E49" s="2" t="s">
        <v>222</v>
      </c>
      <c r="F49" s="4">
        <v>5300000</v>
      </c>
      <c r="G49" s="3">
        <v>700</v>
      </c>
      <c r="H49" s="2" t="s">
        <v>220</v>
      </c>
      <c r="I49" s="3">
        <v>1600</v>
      </c>
      <c r="J49" s="2" t="s">
        <v>224</v>
      </c>
      <c r="K49" s="2" t="s">
        <v>220</v>
      </c>
      <c r="L49" s="3">
        <v>1200</v>
      </c>
      <c r="M49" s="4">
        <v>4</v>
      </c>
      <c r="N49" s="3">
        <v>100000000000</v>
      </c>
      <c r="O49" s="3">
        <v>400</v>
      </c>
      <c r="P49" s="3">
        <v>18867.924500000001</v>
      </c>
    </row>
    <row r="50" spans="1:16" x14ac:dyDescent="0.25">
      <c r="A50" s="2" t="s">
        <v>163</v>
      </c>
      <c r="B50" s="2" t="s">
        <v>19</v>
      </c>
      <c r="C50" s="2" t="s">
        <v>40</v>
      </c>
      <c r="D50" s="2" t="s">
        <v>216</v>
      </c>
      <c r="E50" s="2" t="s">
        <v>222</v>
      </c>
      <c r="F50" s="4">
        <v>4400000</v>
      </c>
      <c r="G50" s="3">
        <v>700</v>
      </c>
      <c r="H50" s="2" t="s">
        <v>220</v>
      </c>
      <c r="I50" s="3">
        <v>1600</v>
      </c>
      <c r="J50" s="2" t="s">
        <v>224</v>
      </c>
      <c r="K50" s="2" t="s">
        <v>224</v>
      </c>
      <c r="L50" s="3">
        <v>1200</v>
      </c>
      <c r="M50" s="4">
        <v>3</v>
      </c>
      <c r="N50" s="3">
        <v>95000000000</v>
      </c>
      <c r="O50" s="3">
        <v>400</v>
      </c>
      <c r="P50" s="3">
        <v>21590.909100000001</v>
      </c>
    </row>
    <row r="51" spans="1:16" x14ac:dyDescent="0.25">
      <c r="A51" s="2" t="s">
        <v>194</v>
      </c>
      <c r="B51" s="2" t="s">
        <v>19</v>
      </c>
      <c r="C51" s="2" t="s">
        <v>20</v>
      </c>
      <c r="D51" s="2" t="s">
        <v>216</v>
      </c>
      <c r="E51" s="2" t="s">
        <v>222</v>
      </c>
      <c r="F51" s="4">
        <v>1500000</v>
      </c>
      <c r="G51" s="3">
        <v>700</v>
      </c>
      <c r="H51" s="2" t="s">
        <v>220</v>
      </c>
      <c r="I51" s="3">
        <v>1800</v>
      </c>
      <c r="J51" s="2" t="s">
        <v>224</v>
      </c>
      <c r="K51" s="2" t="s">
        <v>220</v>
      </c>
      <c r="L51" s="3">
        <v>1800</v>
      </c>
      <c r="M51" s="4">
        <v>4</v>
      </c>
      <c r="N51" s="3">
        <v>26000000000</v>
      </c>
      <c r="O51" s="3">
        <v>0</v>
      </c>
      <c r="P51" s="3">
        <v>17333.333299999998</v>
      </c>
    </row>
    <row r="52" spans="1:16" x14ac:dyDescent="0.25">
      <c r="A52" s="2" t="s">
        <v>21</v>
      </c>
      <c r="B52" s="2" t="s">
        <v>19</v>
      </c>
      <c r="C52" s="2" t="s">
        <v>20</v>
      </c>
      <c r="D52" s="2" t="s">
        <v>216</v>
      </c>
      <c r="E52" s="2" t="s">
        <v>222</v>
      </c>
      <c r="F52" s="4">
        <v>100000</v>
      </c>
      <c r="G52" s="3">
        <v>600</v>
      </c>
      <c r="H52" s="2" t="s">
        <v>224</v>
      </c>
      <c r="I52" s="3">
        <v>1900</v>
      </c>
      <c r="J52" s="2" t="s">
        <v>224</v>
      </c>
      <c r="K52" s="2" t="s">
        <v>220</v>
      </c>
      <c r="L52" s="3">
        <v>2000</v>
      </c>
      <c r="M52" s="4">
        <v>4</v>
      </c>
      <c r="N52" s="3">
        <v>2000000000</v>
      </c>
      <c r="O52" s="3">
        <v>-100</v>
      </c>
      <c r="P52" s="3">
        <v>20000</v>
      </c>
    </row>
    <row r="53" spans="1:16" x14ac:dyDescent="0.25">
      <c r="A53" s="2" t="s">
        <v>52</v>
      </c>
      <c r="B53" s="2" t="s">
        <v>7</v>
      </c>
      <c r="C53" s="2" t="s">
        <v>37</v>
      </c>
      <c r="D53" s="2" t="s">
        <v>217</v>
      </c>
      <c r="E53" s="2" t="s">
        <v>222</v>
      </c>
      <c r="F53" s="4">
        <v>6400000</v>
      </c>
      <c r="G53" s="3">
        <v>600</v>
      </c>
      <c r="H53" s="2" t="s">
        <v>220</v>
      </c>
      <c r="I53" s="3">
        <v>1350</v>
      </c>
      <c r="J53" s="2" t="s">
        <v>221</v>
      </c>
      <c r="K53" s="2" t="s">
        <v>221</v>
      </c>
      <c r="L53" s="3">
        <v>650</v>
      </c>
      <c r="M53" s="4">
        <v>4</v>
      </c>
      <c r="N53" s="3">
        <v>135000000000</v>
      </c>
      <c r="O53" s="3">
        <v>700</v>
      </c>
      <c r="P53" s="3">
        <v>21093.75</v>
      </c>
    </row>
    <row r="54" spans="1:16" x14ac:dyDescent="0.25">
      <c r="A54" s="2" t="s">
        <v>196</v>
      </c>
      <c r="B54" s="2" t="s">
        <v>4</v>
      </c>
      <c r="C54" s="2" t="s">
        <v>25</v>
      </c>
      <c r="D54" s="2" t="s">
        <v>216</v>
      </c>
      <c r="E54" s="2" t="s">
        <v>222</v>
      </c>
      <c r="F54" s="4">
        <v>86000000</v>
      </c>
      <c r="G54" s="3">
        <v>600</v>
      </c>
      <c r="H54" s="2" t="s">
        <v>224</v>
      </c>
      <c r="I54" s="3">
        <v>1350</v>
      </c>
      <c r="J54" s="2" t="s">
        <v>221</v>
      </c>
      <c r="K54" s="2" t="s">
        <v>224</v>
      </c>
      <c r="L54" s="3">
        <v>900</v>
      </c>
      <c r="M54" s="4">
        <v>38</v>
      </c>
      <c r="N54" s="3">
        <v>1150000000000</v>
      </c>
      <c r="O54" s="3">
        <v>450</v>
      </c>
      <c r="P54" s="3">
        <v>13372.093000000001</v>
      </c>
    </row>
    <row r="55" spans="1:16" x14ac:dyDescent="0.25">
      <c r="A55" s="2" t="s">
        <v>203</v>
      </c>
      <c r="B55" s="2" t="s">
        <v>23</v>
      </c>
      <c r="C55" s="2" t="s">
        <v>23</v>
      </c>
      <c r="D55" s="2" t="s">
        <v>215</v>
      </c>
      <c r="E55" s="2" t="s">
        <v>221</v>
      </c>
      <c r="F55" s="4">
        <v>3500000</v>
      </c>
      <c r="G55" s="3">
        <v>600</v>
      </c>
      <c r="H55" s="2" t="s">
        <v>224</v>
      </c>
      <c r="I55" s="3">
        <v>1500</v>
      </c>
      <c r="J55" s="2" t="s">
        <v>224</v>
      </c>
      <c r="K55" s="2" t="s">
        <v>220</v>
      </c>
      <c r="L55" s="3">
        <v>1600</v>
      </c>
      <c r="M55" s="4">
        <v>4</v>
      </c>
      <c r="N55" s="3">
        <v>90000000000</v>
      </c>
      <c r="O55" s="3">
        <v>-100</v>
      </c>
      <c r="P55" s="3">
        <v>25714.2857</v>
      </c>
    </row>
    <row r="56" spans="1:16" x14ac:dyDescent="0.25">
      <c r="A56" s="2" t="s">
        <v>65</v>
      </c>
      <c r="B56" s="2" t="s">
        <v>23</v>
      </c>
      <c r="C56" s="2" t="s">
        <v>23</v>
      </c>
      <c r="D56" s="2" t="s">
        <v>215</v>
      </c>
      <c r="E56" s="2" t="s">
        <v>221</v>
      </c>
      <c r="F56" s="4">
        <v>20000000</v>
      </c>
      <c r="G56" s="3">
        <v>550</v>
      </c>
      <c r="H56" s="2" t="s">
        <v>224</v>
      </c>
      <c r="I56" s="3">
        <v>1450</v>
      </c>
      <c r="J56" s="2" t="s">
        <v>224</v>
      </c>
      <c r="K56" s="2" t="s">
        <v>224</v>
      </c>
      <c r="L56" s="3">
        <v>950</v>
      </c>
      <c r="M56" s="4">
        <v>4</v>
      </c>
      <c r="N56" s="3">
        <v>360000000000</v>
      </c>
      <c r="O56" s="3">
        <v>500</v>
      </c>
      <c r="P56" s="3">
        <v>18000</v>
      </c>
    </row>
    <row r="57" spans="1:16" x14ac:dyDescent="0.25">
      <c r="A57" s="2" t="s">
        <v>102</v>
      </c>
      <c r="B57" s="2" t="s">
        <v>19</v>
      </c>
      <c r="C57" s="2" t="s">
        <v>20</v>
      </c>
      <c r="D57" s="2" t="s">
        <v>214</v>
      </c>
      <c r="E57" s="2" t="s">
        <v>220</v>
      </c>
      <c r="F57" s="4">
        <v>125000</v>
      </c>
      <c r="G57" s="3">
        <v>500</v>
      </c>
      <c r="H57" s="2" t="s">
        <v>224</v>
      </c>
      <c r="I57" s="3">
        <v>1200</v>
      </c>
      <c r="J57" s="2" t="s">
        <v>221</v>
      </c>
      <c r="K57" s="2" t="s">
        <v>220</v>
      </c>
      <c r="L57" s="3">
        <v>1500</v>
      </c>
      <c r="M57" s="4">
        <v>3</v>
      </c>
      <c r="N57" s="3">
        <v>2000000000</v>
      </c>
      <c r="O57" s="3">
        <v>-300</v>
      </c>
      <c r="P57" s="3">
        <v>16000</v>
      </c>
    </row>
    <row r="58" spans="1:16" x14ac:dyDescent="0.25">
      <c r="A58" s="2" t="s">
        <v>107</v>
      </c>
      <c r="B58" s="2" t="s">
        <v>23</v>
      </c>
      <c r="C58" s="2" t="s">
        <v>23</v>
      </c>
      <c r="D58" s="2" t="s">
        <v>216</v>
      </c>
      <c r="E58" s="2" t="s">
        <v>222</v>
      </c>
      <c r="F58" s="4">
        <v>800000</v>
      </c>
      <c r="G58" s="3">
        <v>500</v>
      </c>
      <c r="H58" s="2" t="s">
        <v>224</v>
      </c>
      <c r="I58" s="3">
        <v>1300</v>
      </c>
      <c r="J58" s="2" t="s">
        <v>221</v>
      </c>
      <c r="K58" s="2" t="s">
        <v>224</v>
      </c>
      <c r="L58" s="3">
        <v>650</v>
      </c>
      <c r="M58" s="4">
        <v>4</v>
      </c>
      <c r="N58" s="3">
        <v>25000000000</v>
      </c>
      <c r="O58" s="3">
        <v>650</v>
      </c>
      <c r="P58" s="3">
        <v>31250</v>
      </c>
    </row>
    <row r="59" spans="1:16" x14ac:dyDescent="0.25">
      <c r="A59" s="2" t="s">
        <v>143</v>
      </c>
      <c r="B59" s="2" t="s">
        <v>4</v>
      </c>
      <c r="C59" s="2" t="s">
        <v>5</v>
      </c>
      <c r="D59" s="2" t="s">
        <v>216</v>
      </c>
      <c r="E59" s="2" t="s">
        <v>222</v>
      </c>
      <c r="F59" s="4">
        <v>520000</v>
      </c>
      <c r="G59" s="3">
        <v>500</v>
      </c>
      <c r="H59" s="2" t="s">
        <v>224</v>
      </c>
      <c r="I59" s="3">
        <v>1350</v>
      </c>
      <c r="J59" s="2" t="s">
        <v>221</v>
      </c>
      <c r="K59" s="2" t="s">
        <v>220</v>
      </c>
      <c r="L59" s="3">
        <v>1600</v>
      </c>
      <c r="M59" s="4">
        <v>4</v>
      </c>
      <c r="N59" s="3">
        <v>8000000000</v>
      </c>
      <c r="O59" s="3">
        <v>-250</v>
      </c>
      <c r="P59" s="3">
        <v>15384.615400000001</v>
      </c>
    </row>
    <row r="60" spans="1:16" x14ac:dyDescent="0.25">
      <c r="A60" s="2" t="s">
        <v>176</v>
      </c>
      <c r="B60" s="2" t="s">
        <v>7</v>
      </c>
      <c r="C60" s="2" t="s">
        <v>8</v>
      </c>
      <c r="D60" s="2" t="s">
        <v>214</v>
      </c>
      <c r="E60" s="2" t="s">
        <v>220</v>
      </c>
      <c r="F60" s="4">
        <v>6700000</v>
      </c>
      <c r="G60" s="3">
        <v>500</v>
      </c>
      <c r="H60" s="2" t="s">
        <v>224</v>
      </c>
      <c r="I60" s="3">
        <v>1000</v>
      </c>
      <c r="J60" s="2" t="s">
        <v>221</v>
      </c>
      <c r="K60" s="2" t="s">
        <v>221</v>
      </c>
      <c r="L60" s="3">
        <v>800</v>
      </c>
      <c r="M60" s="4">
        <v>5</v>
      </c>
      <c r="N60" s="3">
        <v>90000000000</v>
      </c>
      <c r="O60" s="3">
        <v>200</v>
      </c>
      <c r="P60" s="3">
        <v>13432.835800000001</v>
      </c>
    </row>
    <row r="61" spans="1:16" x14ac:dyDescent="0.25">
      <c r="A61" s="2" t="s">
        <v>85</v>
      </c>
      <c r="B61" s="2" t="s">
        <v>23</v>
      </c>
      <c r="C61" s="2" t="s">
        <v>23</v>
      </c>
      <c r="D61" s="2" t="s">
        <v>216</v>
      </c>
      <c r="E61" s="2" t="s">
        <v>222</v>
      </c>
      <c r="F61" s="4">
        <v>18000000</v>
      </c>
      <c r="G61" s="3">
        <v>460</v>
      </c>
      <c r="H61" s="2" t="s">
        <v>224</v>
      </c>
      <c r="I61" s="3">
        <v>850</v>
      </c>
      <c r="J61" s="2" t="s">
        <v>221</v>
      </c>
      <c r="K61" s="2" t="s">
        <v>224</v>
      </c>
      <c r="L61" s="3">
        <v>650</v>
      </c>
      <c r="M61" s="4">
        <v>3</v>
      </c>
      <c r="N61" s="3">
        <v>125000000000</v>
      </c>
      <c r="O61" s="3">
        <v>200</v>
      </c>
      <c r="P61" s="3">
        <v>6944.4444000000003</v>
      </c>
    </row>
    <row r="62" spans="1:16" x14ac:dyDescent="0.25">
      <c r="A62" s="2" t="s">
        <v>104</v>
      </c>
      <c r="B62" s="2" t="s">
        <v>19</v>
      </c>
      <c r="C62" s="2" t="s">
        <v>40</v>
      </c>
      <c r="D62" s="2" t="s">
        <v>214</v>
      </c>
      <c r="E62" s="2" t="s">
        <v>220</v>
      </c>
      <c r="F62" s="4">
        <v>18000000</v>
      </c>
      <c r="G62" s="3">
        <v>450</v>
      </c>
      <c r="H62" s="2" t="s">
        <v>224</v>
      </c>
      <c r="I62" s="3">
        <v>800</v>
      </c>
      <c r="J62" s="2" t="s">
        <v>221</v>
      </c>
      <c r="K62" s="2" t="s">
        <v>221</v>
      </c>
      <c r="L62" s="3">
        <v>520</v>
      </c>
      <c r="M62" s="4">
        <v>4</v>
      </c>
      <c r="N62" s="3">
        <v>130000000000</v>
      </c>
      <c r="O62" s="3">
        <v>280</v>
      </c>
      <c r="P62" s="3">
        <v>7222.2222000000002</v>
      </c>
    </row>
    <row r="63" spans="1:16" x14ac:dyDescent="0.25">
      <c r="A63" s="2" t="s">
        <v>146</v>
      </c>
      <c r="B63" s="2" t="s">
        <v>10</v>
      </c>
      <c r="C63" s="2" t="s">
        <v>56</v>
      </c>
      <c r="D63" s="2" t="s">
        <v>216</v>
      </c>
      <c r="E63" s="2" t="s">
        <v>222</v>
      </c>
      <c r="F63" s="4">
        <v>1300000</v>
      </c>
      <c r="G63" s="3">
        <v>450</v>
      </c>
      <c r="H63" s="2" t="s">
        <v>224</v>
      </c>
      <c r="I63" s="3">
        <v>1200</v>
      </c>
      <c r="J63" s="2" t="s">
        <v>221</v>
      </c>
      <c r="K63" s="2" t="s">
        <v>224</v>
      </c>
      <c r="L63" s="3">
        <v>1000</v>
      </c>
      <c r="M63" s="4">
        <v>4</v>
      </c>
      <c r="N63" s="3">
        <v>20000000000</v>
      </c>
      <c r="O63" s="3">
        <v>200</v>
      </c>
      <c r="P63" s="3">
        <v>15384.615400000001</v>
      </c>
    </row>
    <row r="64" spans="1:16" x14ac:dyDescent="0.25">
      <c r="A64" s="2" t="s">
        <v>166</v>
      </c>
      <c r="B64" s="2" t="s">
        <v>23</v>
      </c>
      <c r="C64" s="2" t="s">
        <v>23</v>
      </c>
      <c r="D64" s="2" t="s">
        <v>216</v>
      </c>
      <c r="E64" s="2" t="s">
        <v>222</v>
      </c>
      <c r="F64" s="4">
        <v>34000000</v>
      </c>
      <c r="G64" s="3">
        <v>450</v>
      </c>
      <c r="H64" s="2" t="s">
        <v>224</v>
      </c>
      <c r="I64" s="3">
        <v>1050</v>
      </c>
      <c r="J64" s="2" t="s">
        <v>221</v>
      </c>
      <c r="K64" s="2" t="s">
        <v>224</v>
      </c>
      <c r="L64" s="3">
        <v>750</v>
      </c>
      <c r="M64" s="4">
        <v>4</v>
      </c>
      <c r="N64" s="3">
        <v>250000000000</v>
      </c>
      <c r="O64" s="3">
        <v>300</v>
      </c>
      <c r="P64" s="3">
        <v>7352.9412000000002</v>
      </c>
    </row>
    <row r="65" spans="1:16" x14ac:dyDescent="0.25">
      <c r="A65" s="2" t="s">
        <v>46</v>
      </c>
      <c r="B65" s="2" t="s">
        <v>7</v>
      </c>
      <c r="C65" s="2" t="s">
        <v>8</v>
      </c>
      <c r="D65" s="2" t="s">
        <v>214</v>
      </c>
      <c r="E65" s="2" t="s">
        <v>220</v>
      </c>
      <c r="F65" s="4">
        <v>3200000</v>
      </c>
      <c r="G65" s="3">
        <v>400</v>
      </c>
      <c r="H65" s="2" t="s">
        <v>224</v>
      </c>
      <c r="I65" s="3">
        <v>900</v>
      </c>
      <c r="J65" s="2" t="s">
        <v>221</v>
      </c>
      <c r="K65" s="2" t="s">
        <v>221</v>
      </c>
      <c r="L65" s="3">
        <v>600</v>
      </c>
      <c r="M65" s="4">
        <v>4</v>
      </c>
      <c r="N65" s="3">
        <v>50000000000</v>
      </c>
      <c r="O65" s="3">
        <v>300</v>
      </c>
      <c r="P65" s="3">
        <v>15625</v>
      </c>
    </row>
    <row r="66" spans="1:16" x14ac:dyDescent="0.25">
      <c r="A66" s="2" t="s">
        <v>82</v>
      </c>
      <c r="B66" s="2" t="s">
        <v>19</v>
      </c>
      <c r="C66" s="2" t="s">
        <v>20</v>
      </c>
      <c r="D66" s="2" t="s">
        <v>214</v>
      </c>
      <c r="E66" s="2" t="s">
        <v>220</v>
      </c>
      <c r="F66" s="4">
        <v>70000</v>
      </c>
      <c r="G66" s="3">
        <v>400</v>
      </c>
      <c r="H66" s="2" t="s">
        <v>224</v>
      </c>
      <c r="I66" s="3">
        <v>1000</v>
      </c>
      <c r="J66" s="2" t="s">
        <v>221</v>
      </c>
      <c r="K66" s="2" t="s">
        <v>224</v>
      </c>
      <c r="L66" s="3">
        <v>900</v>
      </c>
      <c r="M66" s="4">
        <v>3</v>
      </c>
      <c r="N66" s="3">
        <v>1300000000</v>
      </c>
      <c r="O66" s="3">
        <v>100</v>
      </c>
      <c r="P66" s="3">
        <v>18571.428599999999</v>
      </c>
    </row>
    <row r="67" spans="1:16" x14ac:dyDescent="0.25">
      <c r="A67" s="2" t="s">
        <v>83</v>
      </c>
      <c r="B67" s="2" t="s">
        <v>19</v>
      </c>
      <c r="C67" s="2" t="s">
        <v>20</v>
      </c>
      <c r="D67" s="2" t="s">
        <v>216</v>
      </c>
      <c r="E67" s="2" t="s">
        <v>222</v>
      </c>
      <c r="F67" s="4">
        <v>11000000</v>
      </c>
      <c r="G67" s="3">
        <v>400</v>
      </c>
      <c r="H67" s="2" t="s">
        <v>224</v>
      </c>
      <c r="I67" s="3">
        <v>1050</v>
      </c>
      <c r="J67" s="2" t="s">
        <v>221</v>
      </c>
      <c r="K67" s="2" t="s">
        <v>224</v>
      </c>
      <c r="L67" s="3">
        <v>850</v>
      </c>
      <c r="M67" s="4">
        <v>5</v>
      </c>
      <c r="N67" s="3">
        <v>135000000000</v>
      </c>
      <c r="O67" s="3">
        <v>200</v>
      </c>
      <c r="P67" s="3">
        <v>12272.7273</v>
      </c>
    </row>
    <row r="68" spans="1:16" x14ac:dyDescent="0.25">
      <c r="A68" s="2" t="s">
        <v>142</v>
      </c>
      <c r="B68" s="2" t="s">
        <v>4</v>
      </c>
      <c r="C68" s="2" t="s">
        <v>51</v>
      </c>
      <c r="D68" s="2" t="s">
        <v>217</v>
      </c>
      <c r="E68" s="2" t="s">
        <v>222</v>
      </c>
      <c r="F68" s="4">
        <v>34000000</v>
      </c>
      <c r="G68" s="3">
        <v>400</v>
      </c>
      <c r="H68" s="2" t="s">
        <v>224</v>
      </c>
      <c r="I68" s="3">
        <v>1200</v>
      </c>
      <c r="J68" s="2" t="s">
        <v>224</v>
      </c>
      <c r="K68" s="2" t="s">
        <v>221</v>
      </c>
      <c r="L68" s="3">
        <v>900</v>
      </c>
      <c r="M68" s="4">
        <v>3</v>
      </c>
      <c r="N68" s="3">
        <v>440000000000</v>
      </c>
      <c r="O68" s="3">
        <v>300</v>
      </c>
      <c r="P68" s="3">
        <v>12941.1765</v>
      </c>
    </row>
    <row r="69" spans="1:16" x14ac:dyDescent="0.25">
      <c r="A69" s="2" t="s">
        <v>147</v>
      </c>
      <c r="B69" s="2" t="s">
        <v>19</v>
      </c>
      <c r="C69" s="2" t="s">
        <v>40</v>
      </c>
      <c r="D69" s="2" t="s">
        <v>216</v>
      </c>
      <c r="E69" s="2" t="s">
        <v>222</v>
      </c>
      <c r="F69" s="4">
        <v>129000000</v>
      </c>
      <c r="G69" s="3">
        <v>400</v>
      </c>
      <c r="H69" s="2" t="s">
        <v>224</v>
      </c>
      <c r="I69" s="3">
        <v>1050</v>
      </c>
      <c r="J69" s="2" t="s">
        <v>221</v>
      </c>
      <c r="K69" s="2" t="s">
        <v>224</v>
      </c>
      <c r="L69" s="3">
        <v>900</v>
      </c>
      <c r="M69" s="4">
        <v>5</v>
      </c>
      <c r="N69" s="3">
        <v>2000000000000</v>
      </c>
      <c r="O69" s="3">
        <v>150</v>
      </c>
      <c r="P69" s="3">
        <v>15503.876</v>
      </c>
    </row>
    <row r="70" spans="1:16" x14ac:dyDescent="0.25">
      <c r="A70" s="2" t="s">
        <v>207</v>
      </c>
      <c r="B70" s="2" t="s">
        <v>4</v>
      </c>
      <c r="C70" s="2" t="s">
        <v>25</v>
      </c>
      <c r="D70" s="2" t="s">
        <v>213</v>
      </c>
      <c r="E70" s="2" t="s">
        <v>219</v>
      </c>
      <c r="F70" s="4">
        <v>5000000</v>
      </c>
      <c r="G70" s="3">
        <v>400</v>
      </c>
      <c r="H70" s="2" t="s">
        <v>224</v>
      </c>
      <c r="I70" s="3">
        <v>720</v>
      </c>
      <c r="J70" s="2" t="s">
        <v>221</v>
      </c>
      <c r="K70" s="2" t="s">
        <v>221</v>
      </c>
      <c r="L70" s="3">
        <v>600</v>
      </c>
      <c r="M70" s="4">
        <v>4</v>
      </c>
      <c r="N70" s="3">
        <v>18000000000</v>
      </c>
      <c r="O70" s="3">
        <v>120</v>
      </c>
      <c r="P70" s="3">
        <v>3600</v>
      </c>
    </row>
    <row r="71" spans="1:16" x14ac:dyDescent="0.25">
      <c r="A71" s="2" t="s">
        <v>87</v>
      </c>
      <c r="B71" s="2" t="s">
        <v>19</v>
      </c>
      <c r="C71" s="2" t="s">
        <v>40</v>
      </c>
      <c r="D71" s="2" t="s">
        <v>214</v>
      </c>
      <c r="E71" s="2" t="s">
        <v>220</v>
      </c>
      <c r="F71" s="4">
        <v>6300000</v>
      </c>
      <c r="G71" s="3">
        <v>365</v>
      </c>
      <c r="H71" s="2" t="s">
        <v>224</v>
      </c>
      <c r="I71" s="3">
        <v>780</v>
      </c>
      <c r="J71" s="2" t="s">
        <v>221</v>
      </c>
      <c r="K71" s="2" t="s">
        <v>224</v>
      </c>
      <c r="L71" s="3">
        <v>700</v>
      </c>
      <c r="M71" s="4">
        <v>3</v>
      </c>
      <c r="N71" s="3">
        <v>85000000000</v>
      </c>
      <c r="O71" s="3">
        <v>80</v>
      </c>
      <c r="P71" s="3">
        <v>13492.0635</v>
      </c>
    </row>
    <row r="72" spans="1:16" x14ac:dyDescent="0.25">
      <c r="A72" s="2" t="s">
        <v>39</v>
      </c>
      <c r="B72" s="2" t="s">
        <v>19</v>
      </c>
      <c r="C72" s="2" t="s">
        <v>40</v>
      </c>
      <c r="D72" s="2" t="s">
        <v>214</v>
      </c>
      <c r="E72" s="2" t="s">
        <v>220</v>
      </c>
      <c r="F72" s="4">
        <v>430000</v>
      </c>
      <c r="G72" s="3">
        <v>350</v>
      </c>
      <c r="H72" s="2" t="s">
        <v>224</v>
      </c>
      <c r="I72" s="3">
        <v>1050</v>
      </c>
      <c r="J72" s="2" t="s">
        <v>224</v>
      </c>
      <c r="K72" s="2" t="s">
        <v>224</v>
      </c>
      <c r="L72" s="3">
        <v>700</v>
      </c>
      <c r="M72" s="4">
        <v>5</v>
      </c>
      <c r="N72" s="3">
        <v>3500000000</v>
      </c>
      <c r="O72" s="3">
        <v>350</v>
      </c>
      <c r="P72" s="3">
        <v>8139.5348999999997</v>
      </c>
    </row>
    <row r="73" spans="1:16" x14ac:dyDescent="0.25">
      <c r="A73" s="2" t="s">
        <v>45</v>
      </c>
      <c r="B73" s="2" t="s">
        <v>23</v>
      </c>
      <c r="C73" s="2" t="s">
        <v>23</v>
      </c>
      <c r="D73" s="2" t="s">
        <v>214</v>
      </c>
      <c r="E73" s="2" t="s">
        <v>220</v>
      </c>
      <c r="F73" s="4">
        <v>12500000</v>
      </c>
      <c r="G73" s="3">
        <v>350</v>
      </c>
      <c r="H73" s="2" t="s">
        <v>224</v>
      </c>
      <c r="I73" s="3">
        <v>720</v>
      </c>
      <c r="J73" s="2" t="s">
        <v>221</v>
      </c>
      <c r="K73" s="2" t="s">
        <v>239</v>
      </c>
      <c r="L73" s="3">
        <v>350</v>
      </c>
      <c r="M73" s="4">
        <v>4</v>
      </c>
      <c r="N73" s="3">
        <v>75000000000</v>
      </c>
      <c r="O73" s="3">
        <v>370</v>
      </c>
      <c r="P73" s="3">
        <v>6000</v>
      </c>
    </row>
    <row r="74" spans="1:16" x14ac:dyDescent="0.25">
      <c r="A74" s="2" t="s">
        <v>66</v>
      </c>
      <c r="B74" s="2" t="s">
        <v>4</v>
      </c>
      <c r="C74" s="2" t="s">
        <v>67</v>
      </c>
      <c r="D74" s="2" t="s">
        <v>217</v>
      </c>
      <c r="E74" s="2" t="s">
        <v>222</v>
      </c>
      <c r="F74" s="4">
        <v>1410000000</v>
      </c>
      <c r="G74" s="3">
        <v>350</v>
      </c>
      <c r="H74" s="2" t="s">
        <v>224</v>
      </c>
      <c r="I74" s="3">
        <v>960</v>
      </c>
      <c r="J74" s="2" t="s">
        <v>221</v>
      </c>
      <c r="K74" s="2" t="s">
        <v>224</v>
      </c>
      <c r="L74" s="3">
        <v>900</v>
      </c>
      <c r="M74" s="4">
        <v>1</v>
      </c>
      <c r="N74" s="3">
        <v>18500000000000</v>
      </c>
      <c r="O74" s="3">
        <v>60</v>
      </c>
      <c r="P74" s="3">
        <v>13120.5674</v>
      </c>
    </row>
    <row r="75" spans="1:16" x14ac:dyDescent="0.25">
      <c r="A75" s="2" t="s">
        <v>68</v>
      </c>
      <c r="B75" s="2" t="s">
        <v>23</v>
      </c>
      <c r="C75" s="2" t="s">
        <v>23</v>
      </c>
      <c r="D75" s="2" t="s">
        <v>216</v>
      </c>
      <c r="E75" s="2" t="s">
        <v>222</v>
      </c>
      <c r="F75" s="4">
        <v>52000000</v>
      </c>
      <c r="G75" s="3">
        <v>350</v>
      </c>
      <c r="H75" s="2" t="s">
        <v>224</v>
      </c>
      <c r="I75" s="3">
        <v>880</v>
      </c>
      <c r="J75" s="2" t="s">
        <v>221</v>
      </c>
      <c r="K75" s="2" t="s">
        <v>224</v>
      </c>
      <c r="L75" s="3">
        <v>700</v>
      </c>
      <c r="M75" s="4">
        <v>6</v>
      </c>
      <c r="N75" s="3">
        <v>450000000000</v>
      </c>
      <c r="O75" s="3">
        <v>180</v>
      </c>
      <c r="P75" s="3">
        <v>8653.8462</v>
      </c>
    </row>
    <row r="76" spans="1:16" x14ac:dyDescent="0.25">
      <c r="A76" s="2" t="s">
        <v>109</v>
      </c>
      <c r="B76" s="2" t="s">
        <v>19</v>
      </c>
      <c r="C76" s="2" t="s">
        <v>40</v>
      </c>
      <c r="D76" s="2" t="s">
        <v>214</v>
      </c>
      <c r="E76" s="2" t="s">
        <v>220</v>
      </c>
      <c r="F76" s="4">
        <v>10600000</v>
      </c>
      <c r="G76" s="3">
        <v>350</v>
      </c>
      <c r="H76" s="2" t="s">
        <v>224</v>
      </c>
      <c r="I76" s="3">
        <v>750</v>
      </c>
      <c r="J76" s="2" t="s">
        <v>221</v>
      </c>
      <c r="K76" s="2" t="s">
        <v>221</v>
      </c>
      <c r="L76" s="3">
        <v>500</v>
      </c>
      <c r="M76" s="4">
        <v>5</v>
      </c>
      <c r="N76" s="3">
        <v>70000000000</v>
      </c>
      <c r="O76" s="3">
        <v>250</v>
      </c>
      <c r="P76" s="3">
        <v>6603.7736000000004</v>
      </c>
    </row>
    <row r="77" spans="1:16" x14ac:dyDescent="0.25">
      <c r="A77" s="2" t="s">
        <v>6</v>
      </c>
      <c r="B77" s="2" t="s">
        <v>7</v>
      </c>
      <c r="C77" s="2" t="s">
        <v>8</v>
      </c>
      <c r="D77" s="2" t="s">
        <v>214</v>
      </c>
      <c r="E77" s="2" t="s">
        <v>220</v>
      </c>
      <c r="F77" s="4">
        <v>2800000</v>
      </c>
      <c r="G77" s="3">
        <v>320</v>
      </c>
      <c r="H77" s="2" t="s">
        <v>224</v>
      </c>
      <c r="I77" s="3">
        <v>680</v>
      </c>
      <c r="J77" s="2" t="s">
        <v>221</v>
      </c>
      <c r="K77" s="2" t="s">
        <v>221</v>
      </c>
      <c r="L77" s="3">
        <v>520</v>
      </c>
      <c r="M77" s="4">
        <v>4</v>
      </c>
      <c r="N77" s="3">
        <v>28000000000</v>
      </c>
      <c r="O77" s="3">
        <v>160</v>
      </c>
      <c r="P77" s="3">
        <v>10000</v>
      </c>
    </row>
    <row r="78" spans="1:16" x14ac:dyDescent="0.25">
      <c r="A78" s="2" t="s">
        <v>122</v>
      </c>
      <c r="B78" s="2" t="s">
        <v>4</v>
      </c>
      <c r="C78" s="2" t="s">
        <v>25</v>
      </c>
      <c r="D78" s="2" t="s">
        <v>214</v>
      </c>
      <c r="E78" s="2" t="s">
        <v>220</v>
      </c>
      <c r="F78" s="4">
        <v>11000000</v>
      </c>
      <c r="G78" s="3">
        <v>320</v>
      </c>
      <c r="H78" s="2" t="s">
        <v>224</v>
      </c>
      <c r="I78" s="3">
        <v>720</v>
      </c>
      <c r="J78" s="2" t="s">
        <v>221</v>
      </c>
      <c r="K78" s="2" t="s">
        <v>221</v>
      </c>
      <c r="L78" s="3">
        <v>520</v>
      </c>
      <c r="M78" s="4">
        <v>3</v>
      </c>
      <c r="N78" s="3">
        <v>60000000000</v>
      </c>
      <c r="O78" s="3">
        <v>200</v>
      </c>
      <c r="P78" s="3">
        <v>5454.5455000000002</v>
      </c>
    </row>
    <row r="79" spans="1:16" x14ac:dyDescent="0.25">
      <c r="A79" s="2" t="s">
        <v>151</v>
      </c>
      <c r="B79" s="2" t="s">
        <v>10</v>
      </c>
      <c r="C79" s="2" t="s">
        <v>11</v>
      </c>
      <c r="D79" s="2" t="s">
        <v>214</v>
      </c>
      <c r="E79" s="2" t="s">
        <v>220</v>
      </c>
      <c r="F79" s="4">
        <v>37000000</v>
      </c>
      <c r="G79" s="3">
        <v>320</v>
      </c>
      <c r="H79" s="2" t="s">
        <v>224</v>
      </c>
      <c r="I79" s="3">
        <v>720</v>
      </c>
      <c r="J79" s="2" t="s">
        <v>221</v>
      </c>
      <c r="K79" s="2" t="s">
        <v>221</v>
      </c>
      <c r="L79" s="3">
        <v>550</v>
      </c>
      <c r="M79" s="4">
        <v>4</v>
      </c>
      <c r="N79" s="3">
        <v>155000000000</v>
      </c>
      <c r="O79" s="3">
        <v>170</v>
      </c>
      <c r="P79" s="3">
        <v>4189.1891999999998</v>
      </c>
    </row>
    <row r="80" spans="1:16" x14ac:dyDescent="0.25">
      <c r="A80" s="2" t="s">
        <v>24</v>
      </c>
      <c r="B80" s="2" t="s">
        <v>4</v>
      </c>
      <c r="C80" s="2" t="s">
        <v>25</v>
      </c>
      <c r="D80" s="2" t="s">
        <v>214</v>
      </c>
      <c r="E80" s="2" t="s">
        <v>220</v>
      </c>
      <c r="F80" s="4">
        <v>3000000</v>
      </c>
      <c r="G80" s="3">
        <v>300</v>
      </c>
      <c r="H80" s="2" t="s">
        <v>224</v>
      </c>
      <c r="I80" s="3">
        <v>720</v>
      </c>
      <c r="J80" s="2" t="s">
        <v>221</v>
      </c>
      <c r="K80" s="2" t="s">
        <v>221</v>
      </c>
      <c r="L80" s="3">
        <v>500</v>
      </c>
      <c r="M80" s="4">
        <v>4</v>
      </c>
      <c r="N80" s="3">
        <v>28000000000</v>
      </c>
      <c r="O80" s="3">
        <v>220</v>
      </c>
      <c r="P80" s="3">
        <v>9333.3333000000002</v>
      </c>
    </row>
    <row r="81" spans="1:16" x14ac:dyDescent="0.25">
      <c r="A81" s="2" t="s">
        <v>47</v>
      </c>
      <c r="B81" s="2" t="s">
        <v>10</v>
      </c>
      <c r="C81" s="2" t="s">
        <v>48</v>
      </c>
      <c r="D81" s="2" t="s">
        <v>214</v>
      </c>
      <c r="E81" s="2" t="s">
        <v>220</v>
      </c>
      <c r="F81" s="4">
        <v>2700000</v>
      </c>
      <c r="G81" s="3">
        <v>300</v>
      </c>
      <c r="H81" s="2" t="s">
        <v>224</v>
      </c>
      <c r="I81" s="3">
        <v>950</v>
      </c>
      <c r="J81" s="2" t="s">
        <v>221</v>
      </c>
      <c r="K81" s="2" t="s">
        <v>221</v>
      </c>
      <c r="L81" s="3">
        <v>550</v>
      </c>
      <c r="M81" s="4">
        <v>5</v>
      </c>
      <c r="N81" s="3">
        <v>20000000000</v>
      </c>
      <c r="O81" s="3">
        <v>400</v>
      </c>
      <c r="P81" s="3">
        <v>7407.4074000000001</v>
      </c>
    </row>
    <row r="82" spans="1:16" x14ac:dyDescent="0.25">
      <c r="A82" s="2" t="s">
        <v>72</v>
      </c>
      <c r="B82" s="2" t="s">
        <v>13</v>
      </c>
      <c r="C82" s="2" t="s">
        <v>14</v>
      </c>
      <c r="D82" s="2" t="s">
        <v>214</v>
      </c>
      <c r="E82" s="2" t="s">
        <v>220</v>
      </c>
      <c r="F82" s="4">
        <v>17000</v>
      </c>
      <c r="G82" s="3">
        <v>300</v>
      </c>
      <c r="H82" s="2" t="s">
        <v>221</v>
      </c>
      <c r="I82" s="3">
        <v>900</v>
      </c>
      <c r="J82" s="2" t="s">
        <v>239</v>
      </c>
      <c r="K82" s="2" t="s">
        <v>224</v>
      </c>
      <c r="L82" s="3">
        <v>800</v>
      </c>
      <c r="M82" s="4">
        <v>3</v>
      </c>
      <c r="N82" s="3">
        <v>600000000</v>
      </c>
      <c r="O82" s="3">
        <v>100</v>
      </c>
      <c r="P82" s="3">
        <v>35294.117599999998</v>
      </c>
    </row>
    <row r="83" spans="1:16" x14ac:dyDescent="0.25">
      <c r="A83" s="2" t="s">
        <v>98</v>
      </c>
      <c r="B83" s="2" t="s">
        <v>4</v>
      </c>
      <c r="C83" s="2" t="s">
        <v>25</v>
      </c>
      <c r="D83" s="2" t="s">
        <v>214</v>
      </c>
      <c r="E83" s="2" t="s">
        <v>220</v>
      </c>
      <c r="F83" s="4">
        <v>3700000</v>
      </c>
      <c r="G83" s="3">
        <v>300</v>
      </c>
      <c r="H83" s="2" t="s">
        <v>224</v>
      </c>
      <c r="I83" s="3">
        <v>720</v>
      </c>
      <c r="J83" s="2" t="s">
        <v>221</v>
      </c>
      <c r="K83" s="2" t="s">
        <v>221</v>
      </c>
      <c r="L83" s="3">
        <v>520</v>
      </c>
      <c r="M83" s="4">
        <v>4</v>
      </c>
      <c r="N83" s="3">
        <v>42000000000</v>
      </c>
      <c r="O83" s="3">
        <v>200</v>
      </c>
      <c r="P83" s="3">
        <v>11351.3514</v>
      </c>
    </row>
    <row r="84" spans="1:16" x14ac:dyDescent="0.25">
      <c r="A84" s="2" t="s">
        <v>116</v>
      </c>
      <c r="B84" s="2" t="s">
        <v>4</v>
      </c>
      <c r="C84" s="2" t="s">
        <v>25</v>
      </c>
      <c r="D84" s="2" t="s">
        <v>214</v>
      </c>
      <c r="E84" s="2" t="s">
        <v>220</v>
      </c>
      <c r="F84" s="4">
        <v>45000000</v>
      </c>
      <c r="G84" s="3">
        <v>300</v>
      </c>
      <c r="H84" s="2" t="s">
        <v>224</v>
      </c>
      <c r="I84" s="3">
        <v>720</v>
      </c>
      <c r="J84" s="2" t="s">
        <v>221</v>
      </c>
      <c r="K84" s="2" t="s">
        <v>221</v>
      </c>
      <c r="L84" s="3">
        <v>600</v>
      </c>
      <c r="M84" s="4">
        <v>4</v>
      </c>
      <c r="N84" s="3">
        <v>320000000000</v>
      </c>
      <c r="O84" s="3">
        <v>120</v>
      </c>
      <c r="P84" s="3">
        <v>7111.1111000000001</v>
      </c>
    </row>
    <row r="85" spans="1:16" x14ac:dyDescent="0.25">
      <c r="A85" s="2" t="s">
        <v>120</v>
      </c>
      <c r="B85" s="2" t="s">
        <v>19</v>
      </c>
      <c r="C85" s="2" t="s">
        <v>20</v>
      </c>
      <c r="D85" s="2" t="s">
        <v>214</v>
      </c>
      <c r="E85" s="2" t="s">
        <v>220</v>
      </c>
      <c r="F85" s="4">
        <v>2800000</v>
      </c>
      <c r="G85" s="3">
        <v>300</v>
      </c>
      <c r="H85" s="2" t="s">
        <v>224</v>
      </c>
      <c r="I85" s="3">
        <v>880</v>
      </c>
      <c r="J85" s="2" t="s">
        <v>221</v>
      </c>
      <c r="K85" s="2" t="s">
        <v>224</v>
      </c>
      <c r="L85" s="3">
        <v>900</v>
      </c>
      <c r="M85" s="4">
        <v>6</v>
      </c>
      <c r="N85" s="3">
        <v>22000000000</v>
      </c>
      <c r="O85" s="3">
        <v>-20</v>
      </c>
      <c r="P85" s="3">
        <v>7857.1428999999998</v>
      </c>
    </row>
    <row r="86" spans="1:16" x14ac:dyDescent="0.25">
      <c r="A86" s="2" t="s">
        <v>136</v>
      </c>
      <c r="B86" s="2" t="s">
        <v>10</v>
      </c>
      <c r="C86" s="2" t="s">
        <v>11</v>
      </c>
      <c r="D86" s="2" t="s">
        <v>214</v>
      </c>
      <c r="E86" s="2" t="s">
        <v>220</v>
      </c>
      <c r="F86" s="4">
        <v>7200000</v>
      </c>
      <c r="G86" s="3">
        <v>300</v>
      </c>
      <c r="H86" s="2" t="s">
        <v>224</v>
      </c>
      <c r="I86" s="3">
        <v>720</v>
      </c>
      <c r="J86" s="2" t="s">
        <v>221</v>
      </c>
      <c r="K86" s="2" t="s">
        <v>221</v>
      </c>
      <c r="L86" s="3">
        <v>450</v>
      </c>
      <c r="M86" s="4">
        <v>5</v>
      </c>
      <c r="N86" s="3">
        <v>85000000000</v>
      </c>
      <c r="O86" s="3">
        <v>270</v>
      </c>
      <c r="P86" s="3">
        <v>11805.5556</v>
      </c>
    </row>
    <row r="87" spans="1:16" x14ac:dyDescent="0.25">
      <c r="A87" s="2" t="s">
        <v>165</v>
      </c>
      <c r="B87" s="2" t="s">
        <v>23</v>
      </c>
      <c r="C87" s="2" t="s">
        <v>23</v>
      </c>
      <c r="D87" s="2" t="s">
        <v>214</v>
      </c>
      <c r="E87" s="2" t="s">
        <v>220</v>
      </c>
      <c r="F87" s="4">
        <v>7200000</v>
      </c>
      <c r="G87" s="3">
        <v>300</v>
      </c>
      <c r="H87" s="2" t="s">
        <v>224</v>
      </c>
      <c r="I87" s="3">
        <v>720</v>
      </c>
      <c r="J87" s="2" t="s">
        <v>221</v>
      </c>
      <c r="K87" s="2" t="s">
        <v>221</v>
      </c>
      <c r="L87" s="3">
        <v>550</v>
      </c>
      <c r="M87" s="4">
        <v>4</v>
      </c>
      <c r="N87" s="3">
        <v>50000000000</v>
      </c>
      <c r="O87" s="3">
        <v>170</v>
      </c>
      <c r="P87" s="3">
        <v>6944.4444000000003</v>
      </c>
    </row>
    <row r="88" spans="1:16" x14ac:dyDescent="0.25">
      <c r="A88" s="2" t="s">
        <v>172</v>
      </c>
      <c r="B88" s="2" t="s">
        <v>7</v>
      </c>
      <c r="C88" s="2" t="s">
        <v>37</v>
      </c>
      <c r="D88" s="2" t="s">
        <v>217</v>
      </c>
      <c r="E88" s="2" t="s">
        <v>222</v>
      </c>
      <c r="F88" s="4">
        <v>144000000</v>
      </c>
      <c r="G88" s="3">
        <v>300</v>
      </c>
      <c r="H88" s="2" t="s">
        <v>224</v>
      </c>
      <c r="I88" s="3">
        <v>960</v>
      </c>
      <c r="J88" s="2" t="s">
        <v>221</v>
      </c>
      <c r="K88" s="2" t="s">
        <v>221</v>
      </c>
      <c r="L88" s="3">
        <v>800</v>
      </c>
      <c r="M88" s="4">
        <v>6</v>
      </c>
      <c r="N88" s="3">
        <v>2200000000000</v>
      </c>
      <c r="O88" s="3">
        <v>160</v>
      </c>
      <c r="P88" s="3">
        <v>15277.7778</v>
      </c>
    </row>
    <row r="89" spans="1:16" x14ac:dyDescent="0.25">
      <c r="A89" s="2" t="s">
        <v>186</v>
      </c>
      <c r="B89" s="2" t="s">
        <v>23</v>
      </c>
      <c r="C89" s="2" t="s">
        <v>23</v>
      </c>
      <c r="D89" s="2" t="s">
        <v>214</v>
      </c>
      <c r="E89" s="2" t="s">
        <v>220</v>
      </c>
      <c r="F89" s="4">
        <v>600000</v>
      </c>
      <c r="G89" s="3">
        <v>300</v>
      </c>
      <c r="H89" s="2" t="s">
        <v>221</v>
      </c>
      <c r="I89" s="3">
        <v>720</v>
      </c>
      <c r="J89" s="2" t="s">
        <v>221</v>
      </c>
      <c r="K89" s="2" t="s">
        <v>221</v>
      </c>
      <c r="L89" s="3">
        <v>650</v>
      </c>
      <c r="M89" s="4">
        <v>6</v>
      </c>
      <c r="N89" s="3">
        <v>9000000000</v>
      </c>
      <c r="O89" s="3">
        <v>70</v>
      </c>
      <c r="P89" s="3">
        <v>15000</v>
      </c>
    </row>
    <row r="90" spans="1:16" x14ac:dyDescent="0.25">
      <c r="A90" s="2" t="s">
        <v>49</v>
      </c>
      <c r="B90" s="2" t="s">
        <v>23</v>
      </c>
      <c r="C90" s="2" t="s">
        <v>23</v>
      </c>
      <c r="D90" s="2" t="s">
        <v>216</v>
      </c>
      <c r="E90" s="2" t="s">
        <v>222</v>
      </c>
      <c r="F90" s="4">
        <v>216000000</v>
      </c>
      <c r="G90" s="3">
        <v>280</v>
      </c>
      <c r="H90" s="2" t="s">
        <v>224</v>
      </c>
      <c r="I90" s="3">
        <v>720</v>
      </c>
      <c r="J90" s="2" t="s">
        <v>221</v>
      </c>
      <c r="K90" s="2" t="s">
        <v>224</v>
      </c>
      <c r="L90" s="3">
        <v>800</v>
      </c>
      <c r="M90" s="4">
        <v>4</v>
      </c>
      <c r="N90" s="3">
        <v>2400000000000</v>
      </c>
      <c r="O90" s="3">
        <v>-80</v>
      </c>
      <c r="P90" s="3">
        <v>11111.1111</v>
      </c>
    </row>
    <row r="91" spans="1:16" x14ac:dyDescent="0.25">
      <c r="A91" s="2" t="s">
        <v>36</v>
      </c>
      <c r="B91" s="2" t="s">
        <v>7</v>
      </c>
      <c r="C91" s="2" t="s">
        <v>37</v>
      </c>
      <c r="D91" s="2" t="s">
        <v>214</v>
      </c>
      <c r="E91" s="2" t="s">
        <v>220</v>
      </c>
      <c r="F91" s="4">
        <v>9200000</v>
      </c>
      <c r="G91" s="3">
        <v>250</v>
      </c>
      <c r="H91" s="2" t="s">
        <v>221</v>
      </c>
      <c r="I91" s="3">
        <v>700</v>
      </c>
      <c r="J91" s="2" t="s">
        <v>221</v>
      </c>
      <c r="K91" s="2" t="s">
        <v>221</v>
      </c>
      <c r="L91" s="3">
        <v>450</v>
      </c>
      <c r="M91" s="4">
        <v>6</v>
      </c>
      <c r="N91" s="3">
        <v>85000000000</v>
      </c>
      <c r="O91" s="3">
        <v>250</v>
      </c>
      <c r="P91" s="3">
        <v>9239.1304</v>
      </c>
    </row>
    <row r="92" spans="1:16" x14ac:dyDescent="0.25">
      <c r="A92" s="2" t="s">
        <v>61</v>
      </c>
      <c r="B92" s="2" t="s">
        <v>10</v>
      </c>
      <c r="C92" s="2" t="s">
        <v>42</v>
      </c>
      <c r="D92" s="2" t="s">
        <v>214</v>
      </c>
      <c r="E92" s="2" t="s">
        <v>220</v>
      </c>
      <c r="F92" s="4">
        <v>600000</v>
      </c>
      <c r="G92" s="3">
        <v>250</v>
      </c>
      <c r="H92" s="2" t="s">
        <v>221</v>
      </c>
      <c r="I92" s="3">
        <v>720</v>
      </c>
      <c r="J92" s="2" t="s">
        <v>221</v>
      </c>
      <c r="K92" s="2" t="s">
        <v>221</v>
      </c>
      <c r="L92" s="3">
        <v>550</v>
      </c>
      <c r="M92" s="4">
        <v>3</v>
      </c>
      <c r="N92" s="3">
        <v>7000000000</v>
      </c>
      <c r="O92" s="3">
        <v>170</v>
      </c>
      <c r="P92" s="3">
        <v>11666.6667</v>
      </c>
    </row>
    <row r="93" spans="1:16" x14ac:dyDescent="0.25">
      <c r="A93" s="2" t="s">
        <v>96</v>
      </c>
      <c r="B93" s="2" t="s">
        <v>10</v>
      </c>
      <c r="C93" s="2" t="s">
        <v>17</v>
      </c>
      <c r="D93" s="2" t="s">
        <v>214</v>
      </c>
      <c r="E93" s="2" t="s">
        <v>220</v>
      </c>
      <c r="F93" s="4">
        <v>2400000</v>
      </c>
      <c r="G93" s="3">
        <v>250</v>
      </c>
      <c r="H93" s="2" t="s">
        <v>221</v>
      </c>
      <c r="I93" s="3">
        <v>720</v>
      </c>
      <c r="J93" s="2" t="s">
        <v>221</v>
      </c>
      <c r="K93" s="2" t="s">
        <v>224</v>
      </c>
      <c r="L93" s="3">
        <v>900</v>
      </c>
      <c r="M93" s="4">
        <v>4</v>
      </c>
      <c r="N93" s="3">
        <v>23000000000</v>
      </c>
      <c r="O93" s="3">
        <v>-180</v>
      </c>
      <c r="P93" s="3">
        <v>9583.3333000000002</v>
      </c>
    </row>
    <row r="94" spans="1:16" x14ac:dyDescent="0.25">
      <c r="A94" s="2" t="s">
        <v>123</v>
      </c>
      <c r="B94" s="2" t="s">
        <v>4</v>
      </c>
      <c r="C94" s="2" t="s">
        <v>124</v>
      </c>
      <c r="D94" s="2" t="s">
        <v>216</v>
      </c>
      <c r="E94" s="2" t="s">
        <v>222</v>
      </c>
      <c r="F94" s="4">
        <v>20000000</v>
      </c>
      <c r="G94" s="3">
        <v>250</v>
      </c>
      <c r="H94" s="2" t="s">
        <v>221</v>
      </c>
      <c r="I94" s="3">
        <v>900</v>
      </c>
      <c r="J94" s="2" t="s">
        <v>221</v>
      </c>
      <c r="K94" s="2" t="s">
        <v>221</v>
      </c>
      <c r="L94" s="3">
        <v>650</v>
      </c>
      <c r="M94" s="4">
        <v>6</v>
      </c>
      <c r="N94" s="3">
        <v>300000000000</v>
      </c>
      <c r="O94" s="3">
        <v>250</v>
      </c>
      <c r="P94" s="3">
        <v>15000</v>
      </c>
    </row>
    <row r="95" spans="1:16" x14ac:dyDescent="0.25">
      <c r="A95" s="2" t="s">
        <v>148</v>
      </c>
      <c r="B95" s="2" t="s">
        <v>7</v>
      </c>
      <c r="C95" s="2" t="s">
        <v>37</v>
      </c>
      <c r="D95" s="2" t="s">
        <v>214</v>
      </c>
      <c r="E95" s="2" t="s">
        <v>220</v>
      </c>
      <c r="F95" s="4">
        <v>2500000</v>
      </c>
      <c r="G95" s="3">
        <v>250</v>
      </c>
      <c r="H95" s="2" t="s">
        <v>221</v>
      </c>
      <c r="I95" s="3">
        <v>560</v>
      </c>
      <c r="J95" s="2" t="s">
        <v>239</v>
      </c>
      <c r="K95" s="2" t="s">
        <v>239</v>
      </c>
      <c r="L95" s="3">
        <v>400</v>
      </c>
      <c r="M95" s="4">
        <v>6</v>
      </c>
      <c r="N95" s="3">
        <v>38000000000</v>
      </c>
      <c r="O95" s="3">
        <v>160</v>
      </c>
      <c r="P95" s="3">
        <v>15200</v>
      </c>
    </row>
    <row r="96" spans="1:16" x14ac:dyDescent="0.25">
      <c r="A96" s="2" t="s">
        <v>150</v>
      </c>
      <c r="B96" s="2" t="s">
        <v>4</v>
      </c>
      <c r="C96" s="2" t="s">
        <v>67</v>
      </c>
      <c r="D96" s="2" t="s">
        <v>214</v>
      </c>
      <c r="E96" s="2" t="s">
        <v>220</v>
      </c>
      <c r="F96" s="4">
        <v>3500000</v>
      </c>
      <c r="G96" s="3">
        <v>250</v>
      </c>
      <c r="H96" s="2" t="s">
        <v>221</v>
      </c>
      <c r="I96" s="3">
        <v>640</v>
      </c>
      <c r="J96" s="2" t="s">
        <v>239</v>
      </c>
      <c r="K96" s="2" t="s">
        <v>221</v>
      </c>
      <c r="L96" s="3">
        <v>650</v>
      </c>
      <c r="M96" s="4">
        <v>5</v>
      </c>
      <c r="N96" s="3">
        <v>55000000000</v>
      </c>
      <c r="O96" s="3">
        <v>-10</v>
      </c>
      <c r="P96" s="3">
        <v>15714.2857</v>
      </c>
    </row>
    <row r="97" spans="1:16" x14ac:dyDescent="0.25">
      <c r="A97" s="2" t="s">
        <v>182</v>
      </c>
      <c r="B97" s="2" t="s">
        <v>10</v>
      </c>
      <c r="C97" s="2" t="s">
        <v>48</v>
      </c>
      <c r="D97" s="2" t="s">
        <v>216</v>
      </c>
      <c r="E97" s="2" t="s">
        <v>222</v>
      </c>
      <c r="F97" s="4">
        <v>60000000</v>
      </c>
      <c r="G97" s="3">
        <v>250</v>
      </c>
      <c r="H97" s="2" t="s">
        <v>224</v>
      </c>
      <c r="I97" s="3">
        <v>900</v>
      </c>
      <c r="J97" s="2" t="s">
        <v>221</v>
      </c>
      <c r="K97" s="2" t="s">
        <v>224</v>
      </c>
      <c r="L97" s="3">
        <v>900</v>
      </c>
      <c r="M97" s="4">
        <v>5</v>
      </c>
      <c r="N97" s="3">
        <v>450000000000</v>
      </c>
      <c r="O97" s="3">
        <v>0</v>
      </c>
      <c r="P97" s="3">
        <v>7500</v>
      </c>
    </row>
    <row r="98" spans="1:16" x14ac:dyDescent="0.25">
      <c r="A98" s="2" t="s">
        <v>192</v>
      </c>
      <c r="B98" s="2" t="s">
        <v>4</v>
      </c>
      <c r="C98" s="2" t="s">
        <v>51</v>
      </c>
      <c r="D98" s="2" t="s">
        <v>216</v>
      </c>
      <c r="E98" s="2" t="s">
        <v>222</v>
      </c>
      <c r="F98" s="4">
        <v>71000000</v>
      </c>
      <c r="G98" s="3">
        <v>250</v>
      </c>
      <c r="H98" s="2" t="s">
        <v>221</v>
      </c>
      <c r="I98" s="3">
        <v>720</v>
      </c>
      <c r="J98" s="2" t="s">
        <v>221</v>
      </c>
      <c r="K98" s="2" t="s">
        <v>221</v>
      </c>
      <c r="L98" s="3">
        <v>650</v>
      </c>
      <c r="M98" s="4">
        <v>2</v>
      </c>
      <c r="N98" s="3">
        <v>620000000000</v>
      </c>
      <c r="O98" s="3">
        <v>70</v>
      </c>
      <c r="P98" s="3">
        <v>8732.3943999999992</v>
      </c>
    </row>
    <row r="99" spans="1:16" x14ac:dyDescent="0.25">
      <c r="A99" s="2" t="s">
        <v>195</v>
      </c>
      <c r="B99" s="2" t="s">
        <v>10</v>
      </c>
      <c r="C99" s="2" t="s">
        <v>11</v>
      </c>
      <c r="D99" s="2" t="s">
        <v>214</v>
      </c>
      <c r="E99" s="2" t="s">
        <v>220</v>
      </c>
      <c r="F99" s="4">
        <v>12000000</v>
      </c>
      <c r="G99" s="3">
        <v>250</v>
      </c>
      <c r="H99" s="2" t="s">
        <v>221</v>
      </c>
      <c r="I99" s="3">
        <v>640</v>
      </c>
      <c r="J99" s="2" t="s">
        <v>239</v>
      </c>
      <c r="K99" s="2" t="s">
        <v>221</v>
      </c>
      <c r="L99" s="3">
        <v>500</v>
      </c>
      <c r="M99" s="4">
        <v>4</v>
      </c>
      <c r="N99" s="3">
        <v>60000000000</v>
      </c>
      <c r="O99" s="3">
        <v>140</v>
      </c>
      <c r="P99" s="3">
        <v>5000</v>
      </c>
    </row>
    <row r="100" spans="1:16" x14ac:dyDescent="0.25">
      <c r="A100" s="2" t="s">
        <v>22</v>
      </c>
      <c r="B100" s="2" t="s">
        <v>23</v>
      </c>
      <c r="C100" s="2" t="s">
        <v>23</v>
      </c>
      <c r="D100" s="2" t="s">
        <v>216</v>
      </c>
      <c r="E100" s="2" t="s">
        <v>222</v>
      </c>
      <c r="F100" s="4">
        <v>46000000</v>
      </c>
      <c r="G100" s="3">
        <v>200</v>
      </c>
      <c r="H100" s="2" t="s">
        <v>221</v>
      </c>
      <c r="I100" s="3">
        <v>640</v>
      </c>
      <c r="J100" s="2" t="s">
        <v>221</v>
      </c>
      <c r="K100" s="2" t="s">
        <v>224</v>
      </c>
      <c r="L100" s="3">
        <v>650</v>
      </c>
      <c r="M100" s="4">
        <v>30</v>
      </c>
      <c r="N100" s="3">
        <v>620000000000</v>
      </c>
      <c r="O100" s="3">
        <v>-10</v>
      </c>
      <c r="P100" s="3">
        <v>13478.260899999999</v>
      </c>
    </row>
    <row r="101" spans="1:16" x14ac:dyDescent="0.25">
      <c r="A101" s="2" t="s">
        <v>31</v>
      </c>
      <c r="B101" s="2" t="s">
        <v>4</v>
      </c>
      <c r="C101" s="2" t="s">
        <v>25</v>
      </c>
      <c r="D101" s="2" t="s">
        <v>214</v>
      </c>
      <c r="E101" s="2" t="s">
        <v>220</v>
      </c>
      <c r="F101" s="4">
        <v>10000000</v>
      </c>
      <c r="G101" s="3">
        <v>200</v>
      </c>
      <c r="H101" s="2" t="s">
        <v>221</v>
      </c>
      <c r="I101" s="3">
        <v>560</v>
      </c>
      <c r="J101" s="2" t="s">
        <v>221</v>
      </c>
      <c r="K101" s="2" t="s">
        <v>221</v>
      </c>
      <c r="L101" s="3">
        <v>420</v>
      </c>
      <c r="M101" s="4">
        <v>5</v>
      </c>
      <c r="N101" s="3">
        <v>85000000000</v>
      </c>
      <c r="O101" s="3">
        <v>140</v>
      </c>
      <c r="P101" s="3">
        <v>8500</v>
      </c>
    </row>
    <row r="102" spans="1:16" x14ac:dyDescent="0.25">
      <c r="A102" s="2" t="s">
        <v>57</v>
      </c>
      <c r="B102" s="2" t="s">
        <v>4</v>
      </c>
      <c r="C102" s="2" t="s">
        <v>51</v>
      </c>
      <c r="D102" s="2" t="s">
        <v>214</v>
      </c>
      <c r="E102" s="2" t="s">
        <v>220</v>
      </c>
      <c r="F102" s="4">
        <v>17000000</v>
      </c>
      <c r="G102" s="3">
        <v>200</v>
      </c>
      <c r="H102" s="2" t="s">
        <v>221</v>
      </c>
      <c r="I102" s="3">
        <v>360</v>
      </c>
      <c r="J102" s="2" t="s">
        <v>239</v>
      </c>
      <c r="K102" s="2" t="s">
        <v>221</v>
      </c>
      <c r="L102" s="3">
        <v>380</v>
      </c>
      <c r="M102" s="4">
        <v>4</v>
      </c>
      <c r="N102" s="3">
        <v>60000000000</v>
      </c>
      <c r="O102" s="3">
        <v>-20</v>
      </c>
      <c r="P102" s="3">
        <v>3529.4117999999999</v>
      </c>
    </row>
    <row r="103" spans="1:16" x14ac:dyDescent="0.25">
      <c r="A103" s="2" t="s">
        <v>81</v>
      </c>
      <c r="B103" s="2" t="s">
        <v>10</v>
      </c>
      <c r="C103" s="2" t="s">
        <v>56</v>
      </c>
      <c r="D103" s="2" t="s">
        <v>213</v>
      </c>
      <c r="E103" s="2" t="s">
        <v>219</v>
      </c>
      <c r="F103" s="4">
        <v>1100000</v>
      </c>
      <c r="G103" s="3">
        <v>200</v>
      </c>
      <c r="H103" s="2" t="s">
        <v>221</v>
      </c>
      <c r="I103" s="3">
        <v>480</v>
      </c>
      <c r="J103" s="2" t="s">
        <v>239</v>
      </c>
      <c r="K103" s="2" t="s">
        <v>224</v>
      </c>
      <c r="L103" s="3">
        <v>700</v>
      </c>
      <c r="M103" s="4">
        <v>4</v>
      </c>
      <c r="N103" s="3">
        <v>5000000000</v>
      </c>
      <c r="O103" s="3">
        <v>-220</v>
      </c>
      <c r="P103" s="3">
        <v>4545.4544999999998</v>
      </c>
    </row>
    <row r="104" spans="1:16" x14ac:dyDescent="0.25">
      <c r="A104" s="2" t="s">
        <v>88</v>
      </c>
      <c r="B104" s="2" t="s">
        <v>10</v>
      </c>
      <c r="C104" s="2" t="s">
        <v>17</v>
      </c>
      <c r="D104" s="2" t="s">
        <v>214</v>
      </c>
      <c r="E104" s="2" t="s">
        <v>220</v>
      </c>
      <c r="F104" s="4">
        <v>1800000</v>
      </c>
      <c r="G104" s="3">
        <v>200</v>
      </c>
      <c r="H104" s="2" t="s">
        <v>221</v>
      </c>
      <c r="I104" s="3">
        <v>640</v>
      </c>
      <c r="J104" s="2" t="s">
        <v>221</v>
      </c>
      <c r="K104" s="2" t="s">
        <v>221</v>
      </c>
      <c r="L104" s="3">
        <v>600</v>
      </c>
      <c r="M104" s="4">
        <v>4</v>
      </c>
      <c r="N104" s="3">
        <v>12000000000</v>
      </c>
      <c r="O104" s="3">
        <v>40</v>
      </c>
      <c r="P104" s="3">
        <v>6666.6666999999998</v>
      </c>
    </row>
    <row r="105" spans="1:16" x14ac:dyDescent="0.25">
      <c r="A105" s="2" t="s">
        <v>114</v>
      </c>
      <c r="B105" s="2" t="s">
        <v>4</v>
      </c>
      <c r="C105" s="2" t="s">
        <v>51</v>
      </c>
      <c r="D105" s="2" t="s">
        <v>216</v>
      </c>
      <c r="E105" s="2" t="s">
        <v>222</v>
      </c>
      <c r="F105" s="4">
        <v>278000000</v>
      </c>
      <c r="G105" s="3">
        <v>200</v>
      </c>
      <c r="H105" s="2" t="s">
        <v>221</v>
      </c>
      <c r="I105" s="3">
        <v>640</v>
      </c>
      <c r="J105" s="2" t="s">
        <v>221</v>
      </c>
      <c r="K105" s="2" t="s">
        <v>221</v>
      </c>
      <c r="L105" s="3">
        <v>600</v>
      </c>
      <c r="M105" s="4">
        <v>3</v>
      </c>
      <c r="N105" s="3">
        <v>1450000000000</v>
      </c>
      <c r="O105" s="3">
        <v>40</v>
      </c>
      <c r="P105" s="3">
        <v>5215.8272999999999</v>
      </c>
    </row>
    <row r="106" spans="1:16" x14ac:dyDescent="0.25">
      <c r="A106" s="2" t="s">
        <v>115</v>
      </c>
      <c r="B106" s="2" t="s">
        <v>4</v>
      </c>
      <c r="C106" s="2" t="s">
        <v>25</v>
      </c>
      <c r="D106" s="2" t="s">
        <v>216</v>
      </c>
      <c r="E106" s="2" t="s">
        <v>222</v>
      </c>
      <c r="F106" s="4">
        <v>89000000</v>
      </c>
      <c r="G106" s="3">
        <v>200</v>
      </c>
      <c r="H106" s="2" t="s">
        <v>221</v>
      </c>
      <c r="I106" s="3">
        <v>560</v>
      </c>
      <c r="J106" s="2" t="s">
        <v>221</v>
      </c>
      <c r="K106" s="2" t="s">
        <v>221</v>
      </c>
      <c r="L106" s="3">
        <v>500</v>
      </c>
      <c r="M106" s="4">
        <v>35</v>
      </c>
      <c r="N106" s="3">
        <v>430000000000</v>
      </c>
      <c r="O106" s="3">
        <v>60</v>
      </c>
      <c r="P106" s="3">
        <v>4831.4606999999996</v>
      </c>
    </row>
    <row r="107" spans="1:16" x14ac:dyDescent="0.25">
      <c r="A107" s="2" t="s">
        <v>130</v>
      </c>
      <c r="B107" s="2" t="s">
        <v>4</v>
      </c>
      <c r="C107" s="2" t="s">
        <v>124</v>
      </c>
      <c r="D107" s="2" t="s">
        <v>214</v>
      </c>
      <c r="E107" s="2" t="s">
        <v>220</v>
      </c>
      <c r="F107" s="4">
        <v>7200000</v>
      </c>
      <c r="G107" s="3">
        <v>200</v>
      </c>
      <c r="H107" s="2" t="s">
        <v>221</v>
      </c>
      <c r="I107" s="3">
        <v>480</v>
      </c>
      <c r="J107" s="2" t="s">
        <v>239</v>
      </c>
      <c r="K107" s="2" t="s">
        <v>239</v>
      </c>
      <c r="L107" s="3">
        <v>300</v>
      </c>
      <c r="M107" s="4">
        <v>6</v>
      </c>
      <c r="N107" s="3">
        <v>22000000000</v>
      </c>
      <c r="O107" s="3">
        <v>180</v>
      </c>
      <c r="P107" s="3">
        <v>3055.5556000000001</v>
      </c>
    </row>
    <row r="108" spans="1:16" x14ac:dyDescent="0.25">
      <c r="A108" s="2" t="s">
        <v>153</v>
      </c>
      <c r="B108" s="2" t="s">
        <v>10</v>
      </c>
      <c r="C108" s="2" t="s">
        <v>48</v>
      </c>
      <c r="D108" s="2" t="s">
        <v>214</v>
      </c>
      <c r="E108" s="2" t="s">
        <v>220</v>
      </c>
      <c r="F108" s="4">
        <v>2700000</v>
      </c>
      <c r="G108" s="3">
        <v>200</v>
      </c>
      <c r="H108" s="2" t="s">
        <v>221</v>
      </c>
      <c r="I108" s="3">
        <v>640</v>
      </c>
      <c r="J108" s="2" t="s">
        <v>239</v>
      </c>
      <c r="K108" s="2" t="s">
        <v>221</v>
      </c>
      <c r="L108" s="3">
        <v>650</v>
      </c>
      <c r="M108" s="4">
        <v>5</v>
      </c>
      <c r="N108" s="3">
        <v>16000000000</v>
      </c>
      <c r="O108" s="3">
        <v>-10</v>
      </c>
      <c r="P108" s="3">
        <v>5925.9259000000002</v>
      </c>
    </row>
    <row r="109" spans="1:16" x14ac:dyDescent="0.25">
      <c r="A109" s="2" t="s">
        <v>157</v>
      </c>
      <c r="B109" s="2" t="s">
        <v>19</v>
      </c>
      <c r="C109" s="2" t="s">
        <v>40</v>
      </c>
      <c r="D109" s="2" t="s">
        <v>214</v>
      </c>
      <c r="E109" s="2" t="s">
        <v>220</v>
      </c>
      <c r="F109" s="4">
        <v>6800000</v>
      </c>
      <c r="G109" s="3">
        <v>200</v>
      </c>
      <c r="H109" s="2" t="s">
        <v>221</v>
      </c>
      <c r="I109" s="3">
        <v>480</v>
      </c>
      <c r="J109" s="2" t="s">
        <v>239</v>
      </c>
      <c r="K109" s="2" t="s">
        <v>239</v>
      </c>
      <c r="L109" s="3">
        <v>350</v>
      </c>
      <c r="M109" s="4">
        <v>5</v>
      </c>
      <c r="N109" s="3">
        <v>27000000000</v>
      </c>
      <c r="O109" s="3">
        <v>130</v>
      </c>
      <c r="P109" s="3">
        <v>3970.5882000000001</v>
      </c>
    </row>
    <row r="110" spans="1:16" x14ac:dyDescent="0.25">
      <c r="A110" s="2" t="s">
        <v>197</v>
      </c>
      <c r="B110" s="2" t="s">
        <v>4</v>
      </c>
      <c r="C110" s="2" t="s">
        <v>124</v>
      </c>
      <c r="D110" s="2" t="s">
        <v>214</v>
      </c>
      <c r="E110" s="2" t="s">
        <v>220</v>
      </c>
      <c r="F110" s="4">
        <v>7000000</v>
      </c>
      <c r="G110" s="3">
        <v>200</v>
      </c>
      <c r="H110" s="2" t="s">
        <v>239</v>
      </c>
      <c r="I110" s="3">
        <v>480</v>
      </c>
      <c r="J110" s="2" t="s">
        <v>239</v>
      </c>
      <c r="K110" s="2" t="s">
        <v>239</v>
      </c>
      <c r="L110" s="3">
        <v>300</v>
      </c>
      <c r="M110" s="4">
        <v>5</v>
      </c>
      <c r="N110" s="3">
        <v>65000000000</v>
      </c>
      <c r="O110" s="3">
        <v>180</v>
      </c>
      <c r="P110" s="3">
        <v>9285.7142999999996</v>
      </c>
    </row>
    <row r="111" spans="1:16" x14ac:dyDescent="0.25">
      <c r="A111" s="2" t="s">
        <v>199</v>
      </c>
      <c r="B111" s="2" t="s">
        <v>7</v>
      </c>
      <c r="C111" s="2" t="s">
        <v>37</v>
      </c>
      <c r="D111" s="2" t="s">
        <v>214</v>
      </c>
      <c r="E111" s="2" t="s">
        <v>220</v>
      </c>
      <c r="F111" s="4">
        <v>36000000</v>
      </c>
      <c r="G111" s="3">
        <v>200</v>
      </c>
      <c r="H111" s="2" t="s">
        <v>221</v>
      </c>
      <c r="I111" s="3">
        <v>560</v>
      </c>
      <c r="J111" s="2" t="s">
        <v>239</v>
      </c>
      <c r="K111" s="2" t="s">
        <v>221</v>
      </c>
      <c r="L111" s="3">
        <v>450</v>
      </c>
      <c r="M111" s="4">
        <v>7</v>
      </c>
      <c r="N111" s="3">
        <v>240000000000</v>
      </c>
      <c r="O111" s="3">
        <v>110</v>
      </c>
      <c r="P111" s="3">
        <v>6666.6666999999998</v>
      </c>
    </row>
    <row r="112" spans="1:16" x14ac:dyDescent="0.25">
      <c r="A112" s="2" t="s">
        <v>131</v>
      </c>
      <c r="B112" s="2" t="s">
        <v>4</v>
      </c>
      <c r="C112" s="2" t="s">
        <v>51</v>
      </c>
      <c r="D112" s="2" t="s">
        <v>214</v>
      </c>
      <c r="E112" s="2" t="s">
        <v>220</v>
      </c>
      <c r="F112" s="4">
        <v>7700000</v>
      </c>
      <c r="G112" s="3">
        <v>180</v>
      </c>
      <c r="H112" s="2" t="s">
        <v>221</v>
      </c>
      <c r="I112" s="3">
        <v>400</v>
      </c>
      <c r="J112" s="2" t="s">
        <v>239</v>
      </c>
      <c r="K112" s="2" t="s">
        <v>239</v>
      </c>
      <c r="L112" s="3">
        <v>320</v>
      </c>
      <c r="M112" s="4">
        <v>4</v>
      </c>
      <c r="N112" s="3">
        <v>27000000000</v>
      </c>
      <c r="O112" s="3">
        <v>80</v>
      </c>
      <c r="P112" s="3">
        <v>3506.4935</v>
      </c>
    </row>
    <row r="113" spans="1:16" x14ac:dyDescent="0.25">
      <c r="A113" s="2" t="s">
        <v>167</v>
      </c>
      <c r="B113" s="2" t="s">
        <v>4</v>
      </c>
      <c r="C113" s="2" t="s">
        <v>51</v>
      </c>
      <c r="D113" s="2" t="s">
        <v>214</v>
      </c>
      <c r="E113" s="2" t="s">
        <v>220</v>
      </c>
      <c r="F113" s="4">
        <v>117000000</v>
      </c>
      <c r="G113" s="3">
        <v>180</v>
      </c>
      <c r="H113" s="2" t="s">
        <v>221</v>
      </c>
      <c r="I113" s="3">
        <v>560</v>
      </c>
      <c r="J113" s="2" t="s">
        <v>239</v>
      </c>
      <c r="K113" s="2" t="s">
        <v>221</v>
      </c>
      <c r="L113" s="3">
        <v>550</v>
      </c>
      <c r="M113" s="4">
        <v>5</v>
      </c>
      <c r="N113" s="3">
        <v>480000000000</v>
      </c>
      <c r="O113" s="3">
        <v>10</v>
      </c>
      <c r="P113" s="3">
        <v>4102.5640999999996</v>
      </c>
    </row>
    <row r="114" spans="1:16" x14ac:dyDescent="0.25">
      <c r="A114" s="2" t="s">
        <v>206</v>
      </c>
      <c r="B114" s="2" t="s">
        <v>4</v>
      </c>
      <c r="C114" s="2" t="s">
        <v>51</v>
      </c>
      <c r="D114" s="2" t="s">
        <v>214</v>
      </c>
      <c r="E114" s="2" t="s">
        <v>220</v>
      </c>
      <c r="F114" s="4">
        <v>100000000</v>
      </c>
      <c r="G114" s="3">
        <v>180</v>
      </c>
      <c r="H114" s="2" t="s">
        <v>221</v>
      </c>
      <c r="I114" s="3">
        <v>560</v>
      </c>
      <c r="J114" s="2" t="s">
        <v>239</v>
      </c>
      <c r="K114" s="2" t="s">
        <v>221</v>
      </c>
      <c r="L114" s="3">
        <v>450</v>
      </c>
      <c r="M114" s="4">
        <v>4</v>
      </c>
      <c r="N114" s="3">
        <v>550000000000</v>
      </c>
      <c r="O114" s="3">
        <v>110</v>
      </c>
      <c r="P114" s="3">
        <v>5500</v>
      </c>
    </row>
    <row r="115" spans="1:16" x14ac:dyDescent="0.25">
      <c r="A115" s="2" t="s">
        <v>9</v>
      </c>
      <c r="B115" s="2" t="s">
        <v>10</v>
      </c>
      <c r="C115" s="2" t="s">
        <v>11</v>
      </c>
      <c r="D115" s="2" t="s">
        <v>214</v>
      </c>
      <c r="E115" s="2" t="s">
        <v>220</v>
      </c>
      <c r="F115" s="4">
        <v>46000000</v>
      </c>
      <c r="G115" s="3">
        <v>150</v>
      </c>
      <c r="H115" s="2" t="s">
        <v>221</v>
      </c>
      <c r="I115" s="3">
        <v>520</v>
      </c>
      <c r="J115" s="2" t="s">
        <v>221</v>
      </c>
      <c r="K115" s="2" t="s">
        <v>221</v>
      </c>
      <c r="L115" s="3">
        <v>450</v>
      </c>
      <c r="M115" s="4">
        <v>5</v>
      </c>
      <c r="N115" s="3">
        <v>260000000000</v>
      </c>
      <c r="O115" s="3">
        <v>70</v>
      </c>
      <c r="P115" s="3">
        <v>5652.1738999999998</v>
      </c>
    </row>
    <row r="116" spans="1:16" x14ac:dyDescent="0.25">
      <c r="A116" s="2" t="s">
        <v>44</v>
      </c>
      <c r="B116" s="2" t="s">
        <v>4</v>
      </c>
      <c r="C116" s="2" t="s">
        <v>5</v>
      </c>
      <c r="D116" s="2" t="s">
        <v>214</v>
      </c>
      <c r="E116" s="2" t="s">
        <v>220</v>
      </c>
      <c r="F116" s="4">
        <v>800000</v>
      </c>
      <c r="G116" s="3">
        <v>150</v>
      </c>
      <c r="H116" s="2" t="s">
        <v>221</v>
      </c>
      <c r="I116" s="3">
        <v>400</v>
      </c>
      <c r="J116" s="2" t="s">
        <v>239</v>
      </c>
      <c r="K116" s="2" t="s">
        <v>239</v>
      </c>
      <c r="L116" s="3">
        <v>280</v>
      </c>
      <c r="M116" s="4">
        <v>4</v>
      </c>
      <c r="N116" s="3">
        <v>3500000000</v>
      </c>
      <c r="O116" s="3">
        <v>120</v>
      </c>
      <c r="P116" s="3">
        <v>4375</v>
      </c>
    </row>
    <row r="117" spans="1:16" x14ac:dyDescent="0.25">
      <c r="A117" s="2" t="s">
        <v>84</v>
      </c>
      <c r="B117" s="2" t="s">
        <v>4</v>
      </c>
      <c r="C117" s="2" t="s">
        <v>51</v>
      </c>
      <c r="D117" s="2" t="s">
        <v>214</v>
      </c>
      <c r="E117" s="2" t="s">
        <v>220</v>
      </c>
      <c r="F117" s="4">
        <v>1300000</v>
      </c>
      <c r="G117" s="3">
        <v>150</v>
      </c>
      <c r="H117" s="2" t="s">
        <v>221</v>
      </c>
      <c r="I117" s="3">
        <v>320</v>
      </c>
      <c r="J117" s="2" t="s">
        <v>239</v>
      </c>
      <c r="K117" s="2" t="s">
        <v>239</v>
      </c>
      <c r="L117" s="3">
        <v>300</v>
      </c>
      <c r="M117" s="4">
        <v>4</v>
      </c>
      <c r="N117" s="3">
        <v>4500000000</v>
      </c>
      <c r="O117" s="3">
        <v>20</v>
      </c>
      <c r="P117" s="3">
        <v>3461.5385000000001</v>
      </c>
    </row>
    <row r="118" spans="1:16" x14ac:dyDescent="0.25">
      <c r="A118" s="2" t="s">
        <v>134</v>
      </c>
      <c r="B118" s="2" t="s">
        <v>10</v>
      </c>
      <c r="C118" s="2" t="s">
        <v>48</v>
      </c>
      <c r="D118" s="2" t="s">
        <v>213</v>
      </c>
      <c r="E118" s="2" t="s">
        <v>219</v>
      </c>
      <c r="F118" s="4">
        <v>2300000</v>
      </c>
      <c r="G118" s="3">
        <v>150</v>
      </c>
      <c r="H118" s="2" t="s">
        <v>221</v>
      </c>
      <c r="I118" s="3">
        <v>360</v>
      </c>
      <c r="J118" s="2" t="s">
        <v>239</v>
      </c>
      <c r="K118" s="2" t="s">
        <v>239</v>
      </c>
      <c r="L118" s="3">
        <v>300</v>
      </c>
      <c r="M118" s="4">
        <v>5</v>
      </c>
      <c r="N118" s="3">
        <v>5000000000</v>
      </c>
      <c r="O118" s="3">
        <v>60</v>
      </c>
      <c r="P118" s="3">
        <v>2173.913</v>
      </c>
    </row>
    <row r="119" spans="1:16" x14ac:dyDescent="0.25">
      <c r="A119" s="2" t="s">
        <v>162</v>
      </c>
      <c r="B119" s="2" t="s">
        <v>4</v>
      </c>
      <c r="C119" s="2" t="s">
        <v>5</v>
      </c>
      <c r="D119" s="2" t="s">
        <v>214</v>
      </c>
      <c r="E119" s="2" t="s">
        <v>220</v>
      </c>
      <c r="F119" s="4">
        <v>242000000</v>
      </c>
      <c r="G119" s="3">
        <v>150</v>
      </c>
      <c r="H119" s="2" t="s">
        <v>221</v>
      </c>
      <c r="I119" s="3">
        <v>360</v>
      </c>
      <c r="J119" s="2" t="s">
        <v>239</v>
      </c>
      <c r="K119" s="2" t="s">
        <v>239</v>
      </c>
      <c r="L119" s="3">
        <v>250</v>
      </c>
      <c r="M119" s="4">
        <v>30</v>
      </c>
      <c r="N119" s="3">
        <v>450000000000</v>
      </c>
      <c r="O119" s="3">
        <v>110</v>
      </c>
      <c r="P119" s="3">
        <v>1859.5041000000001</v>
      </c>
    </row>
    <row r="120" spans="1:16" x14ac:dyDescent="0.25">
      <c r="A120" s="2" t="s">
        <v>125</v>
      </c>
      <c r="B120" s="2" t="s">
        <v>10</v>
      </c>
      <c r="C120" s="2" t="s">
        <v>56</v>
      </c>
      <c r="D120" s="2" t="s">
        <v>214</v>
      </c>
      <c r="E120" s="2" t="s">
        <v>220</v>
      </c>
      <c r="F120" s="4">
        <v>55000000</v>
      </c>
      <c r="G120" s="3">
        <v>130</v>
      </c>
      <c r="H120" s="2" t="s">
        <v>221</v>
      </c>
      <c r="I120" s="3">
        <v>360</v>
      </c>
      <c r="J120" s="2" t="s">
        <v>239</v>
      </c>
      <c r="K120" s="2" t="s">
        <v>221</v>
      </c>
      <c r="L120" s="3">
        <v>350</v>
      </c>
      <c r="M120" s="4">
        <v>6</v>
      </c>
      <c r="N120" s="3">
        <v>120000000000</v>
      </c>
      <c r="O120" s="3">
        <v>10</v>
      </c>
      <c r="P120" s="3">
        <v>2181.8182000000002</v>
      </c>
    </row>
    <row r="121" spans="1:16" x14ac:dyDescent="0.25">
      <c r="A121" s="2" t="s">
        <v>71</v>
      </c>
      <c r="B121" s="2" t="s">
        <v>10</v>
      </c>
      <c r="C121" s="2" t="s">
        <v>17</v>
      </c>
      <c r="D121" s="2" t="s">
        <v>213</v>
      </c>
      <c r="E121" s="2" t="s">
        <v>219</v>
      </c>
      <c r="F121" s="4">
        <v>6000000</v>
      </c>
      <c r="G121" s="3">
        <v>120</v>
      </c>
      <c r="H121" s="2" t="s">
        <v>221</v>
      </c>
      <c r="I121" s="3">
        <v>400</v>
      </c>
      <c r="J121" s="2" t="s">
        <v>239</v>
      </c>
      <c r="K121" s="2" t="s">
        <v>221</v>
      </c>
      <c r="L121" s="3">
        <v>450</v>
      </c>
      <c r="M121" s="4">
        <v>4</v>
      </c>
      <c r="N121" s="3">
        <v>22000000000</v>
      </c>
      <c r="O121" s="3">
        <v>-50</v>
      </c>
      <c r="P121" s="3">
        <v>3666.6667000000002</v>
      </c>
    </row>
    <row r="122" spans="1:16" x14ac:dyDescent="0.25">
      <c r="A122" s="2" t="s">
        <v>86</v>
      </c>
      <c r="B122" s="2" t="s">
        <v>10</v>
      </c>
      <c r="C122" s="2" t="s">
        <v>11</v>
      </c>
      <c r="D122" s="2" t="s">
        <v>214</v>
      </c>
      <c r="E122" s="2" t="s">
        <v>220</v>
      </c>
      <c r="F122" s="4">
        <v>112000000</v>
      </c>
      <c r="G122" s="3">
        <v>120</v>
      </c>
      <c r="H122" s="2" t="s">
        <v>221</v>
      </c>
      <c r="I122" s="3">
        <v>380</v>
      </c>
      <c r="J122" s="2" t="s">
        <v>239</v>
      </c>
      <c r="K122" s="2" t="s">
        <v>221</v>
      </c>
      <c r="L122" s="3">
        <v>380</v>
      </c>
      <c r="M122" s="4">
        <v>12</v>
      </c>
      <c r="N122" s="3">
        <v>560000000000</v>
      </c>
      <c r="O122" s="3">
        <v>0</v>
      </c>
      <c r="P122" s="3">
        <v>5000</v>
      </c>
    </row>
    <row r="123" spans="1:16" x14ac:dyDescent="0.25">
      <c r="A123" s="2" t="s">
        <v>92</v>
      </c>
      <c r="B123" s="2" t="s">
        <v>13</v>
      </c>
      <c r="C123" s="2" t="s">
        <v>93</v>
      </c>
      <c r="D123" s="2" t="s">
        <v>214</v>
      </c>
      <c r="E123" s="2" t="s">
        <v>220</v>
      </c>
      <c r="F123" s="4">
        <v>930000</v>
      </c>
      <c r="G123" s="3">
        <v>120</v>
      </c>
      <c r="H123" s="2" t="s">
        <v>221</v>
      </c>
      <c r="I123" s="3">
        <v>480</v>
      </c>
      <c r="J123" s="2" t="s">
        <v>239</v>
      </c>
      <c r="K123" s="2" t="s">
        <v>221</v>
      </c>
      <c r="L123" s="3">
        <v>650</v>
      </c>
      <c r="M123" s="4">
        <v>4</v>
      </c>
      <c r="N123" s="3">
        <v>6500000000</v>
      </c>
      <c r="O123" s="3">
        <v>-170</v>
      </c>
      <c r="P123" s="3">
        <v>6989.2473</v>
      </c>
    </row>
    <row r="124" spans="1:16" x14ac:dyDescent="0.25">
      <c r="A124" s="2" t="s">
        <v>108</v>
      </c>
      <c r="B124" s="2" t="s">
        <v>19</v>
      </c>
      <c r="C124" s="2" t="s">
        <v>20</v>
      </c>
      <c r="D124" s="2" t="s">
        <v>213</v>
      </c>
      <c r="E124" s="2" t="s">
        <v>219</v>
      </c>
      <c r="F124" s="4">
        <v>11500000</v>
      </c>
      <c r="G124" s="3">
        <v>120</v>
      </c>
      <c r="H124" s="2" t="s">
        <v>239</v>
      </c>
      <c r="I124" s="3">
        <v>220</v>
      </c>
      <c r="J124" s="2" t="s">
        <v>239</v>
      </c>
      <c r="K124" s="2" t="s">
        <v>239</v>
      </c>
      <c r="L124" s="3">
        <v>240</v>
      </c>
      <c r="M124" s="4">
        <v>18</v>
      </c>
      <c r="N124" s="3">
        <v>20000000000</v>
      </c>
      <c r="O124" s="3">
        <v>-20</v>
      </c>
      <c r="P124" s="3">
        <v>1739.1304</v>
      </c>
    </row>
    <row r="125" spans="1:16" x14ac:dyDescent="0.25">
      <c r="A125" s="2" t="s">
        <v>126</v>
      </c>
      <c r="B125" s="2" t="s">
        <v>13</v>
      </c>
      <c r="C125" s="2" t="s">
        <v>103</v>
      </c>
      <c r="D125" s="2" t="s">
        <v>214</v>
      </c>
      <c r="E125" s="2" t="s">
        <v>220</v>
      </c>
      <c r="F125" s="4">
        <v>130000</v>
      </c>
      <c r="G125" s="3">
        <v>120</v>
      </c>
      <c r="H125" s="2" t="s">
        <v>221</v>
      </c>
      <c r="I125" s="3">
        <v>320</v>
      </c>
      <c r="J125" s="2" t="s">
        <v>239</v>
      </c>
      <c r="K125" s="2" t="s">
        <v>239</v>
      </c>
      <c r="L125" s="3">
        <v>300</v>
      </c>
      <c r="M125" s="4">
        <v>4</v>
      </c>
      <c r="N125" s="3">
        <v>350000000</v>
      </c>
      <c r="O125" s="3">
        <v>20</v>
      </c>
      <c r="P125" s="3">
        <v>2692.3076999999998</v>
      </c>
    </row>
    <row r="126" spans="1:16" x14ac:dyDescent="0.25">
      <c r="A126" s="2" t="s">
        <v>154</v>
      </c>
      <c r="B126" s="2" t="s">
        <v>4</v>
      </c>
      <c r="C126" s="2" t="s">
        <v>5</v>
      </c>
      <c r="D126" s="2" t="s">
        <v>214</v>
      </c>
      <c r="E126" s="2" t="s">
        <v>220</v>
      </c>
      <c r="F126" s="4">
        <v>31000000</v>
      </c>
      <c r="G126" s="3">
        <v>120</v>
      </c>
      <c r="H126" s="2" t="s">
        <v>221</v>
      </c>
      <c r="I126" s="3">
        <v>320</v>
      </c>
      <c r="J126" s="2" t="s">
        <v>239</v>
      </c>
      <c r="K126" s="2" t="s">
        <v>239</v>
      </c>
      <c r="L126" s="3">
        <v>280</v>
      </c>
      <c r="M126" s="4">
        <v>6</v>
      </c>
      <c r="N126" s="3">
        <v>48000000000</v>
      </c>
      <c r="O126" s="3">
        <v>40</v>
      </c>
      <c r="P126" s="3">
        <v>1548.3870999999999</v>
      </c>
    </row>
    <row r="127" spans="1:16" x14ac:dyDescent="0.25">
      <c r="A127" s="2" t="s">
        <v>184</v>
      </c>
      <c r="B127" s="2" t="s">
        <v>4</v>
      </c>
      <c r="C127" s="2" t="s">
        <v>5</v>
      </c>
      <c r="D127" s="2" t="s">
        <v>214</v>
      </c>
      <c r="E127" s="2" t="s">
        <v>220</v>
      </c>
      <c r="F127" s="4">
        <v>22000000</v>
      </c>
      <c r="G127" s="3">
        <v>120</v>
      </c>
      <c r="H127" s="2" t="s">
        <v>221</v>
      </c>
      <c r="I127" s="3">
        <v>360</v>
      </c>
      <c r="J127" s="2" t="s">
        <v>239</v>
      </c>
      <c r="K127" s="2" t="s">
        <v>221</v>
      </c>
      <c r="L127" s="3">
        <v>320</v>
      </c>
      <c r="M127" s="4">
        <v>8</v>
      </c>
      <c r="N127" s="3">
        <v>90000000000</v>
      </c>
      <c r="O127" s="3">
        <v>40</v>
      </c>
      <c r="P127" s="3">
        <v>4090.9090999999999</v>
      </c>
    </row>
    <row r="128" spans="1:16" x14ac:dyDescent="0.25">
      <c r="A128" s="2" t="s">
        <v>204</v>
      </c>
      <c r="B128" s="2" t="s">
        <v>4</v>
      </c>
      <c r="C128" s="2" t="s">
        <v>124</v>
      </c>
      <c r="D128" s="2" t="s">
        <v>214</v>
      </c>
      <c r="E128" s="2" t="s">
        <v>220</v>
      </c>
      <c r="F128" s="4">
        <v>36000000</v>
      </c>
      <c r="G128" s="3">
        <v>120</v>
      </c>
      <c r="H128" s="2" t="s">
        <v>221</v>
      </c>
      <c r="I128" s="3">
        <v>360</v>
      </c>
      <c r="J128" s="2" t="s">
        <v>239</v>
      </c>
      <c r="K128" s="2" t="s">
        <v>239</v>
      </c>
      <c r="L128" s="3">
        <v>320</v>
      </c>
      <c r="M128" s="4">
        <v>6</v>
      </c>
      <c r="N128" s="3">
        <v>130000000000</v>
      </c>
      <c r="O128" s="3">
        <v>40</v>
      </c>
      <c r="P128" s="3">
        <v>3611.1111000000001</v>
      </c>
    </row>
    <row r="129" spans="1:16" x14ac:dyDescent="0.25">
      <c r="A129" s="2" t="s">
        <v>113</v>
      </c>
      <c r="B129" s="2" t="s">
        <v>4</v>
      </c>
      <c r="C129" s="2" t="s">
        <v>5</v>
      </c>
      <c r="D129" s="2" t="s">
        <v>214</v>
      </c>
      <c r="E129" s="2" t="s">
        <v>220</v>
      </c>
      <c r="F129" s="4">
        <v>1440000000</v>
      </c>
      <c r="G129" s="3">
        <v>100</v>
      </c>
      <c r="H129" s="2" t="s">
        <v>239</v>
      </c>
      <c r="I129" s="3">
        <v>360</v>
      </c>
      <c r="J129" s="2" t="s">
        <v>239</v>
      </c>
      <c r="K129" s="2" t="s">
        <v>239</v>
      </c>
      <c r="L129" s="3">
        <v>300</v>
      </c>
      <c r="M129" s="4">
        <v>5</v>
      </c>
      <c r="N129" s="3">
        <v>4200000000000</v>
      </c>
      <c r="O129" s="3">
        <v>60</v>
      </c>
      <c r="P129" s="3">
        <v>2916.6667000000002</v>
      </c>
    </row>
    <row r="130" spans="1:16" x14ac:dyDescent="0.25">
      <c r="A130" s="2" t="s">
        <v>164</v>
      </c>
      <c r="B130" s="2" t="s">
        <v>13</v>
      </c>
      <c r="C130" s="2" t="s">
        <v>93</v>
      </c>
      <c r="D130" s="2" t="s">
        <v>213</v>
      </c>
      <c r="E130" s="2" t="s">
        <v>219</v>
      </c>
      <c r="F130" s="4">
        <v>10000000</v>
      </c>
      <c r="G130" s="3">
        <v>100</v>
      </c>
      <c r="H130" s="2" t="s">
        <v>239</v>
      </c>
      <c r="I130" s="3">
        <v>260</v>
      </c>
      <c r="J130" s="2" t="s">
        <v>239</v>
      </c>
      <c r="K130" s="2" t="s">
        <v>239</v>
      </c>
      <c r="L130" s="3">
        <v>450</v>
      </c>
      <c r="M130" s="4">
        <v>5</v>
      </c>
      <c r="N130" s="3">
        <v>32000000000</v>
      </c>
      <c r="O130" s="3">
        <v>-190</v>
      </c>
      <c r="P130" s="3">
        <v>3200</v>
      </c>
    </row>
    <row r="131" spans="1:16" x14ac:dyDescent="0.25">
      <c r="A131" s="2" t="s">
        <v>211</v>
      </c>
      <c r="B131" s="2" t="s">
        <v>10</v>
      </c>
      <c r="C131" s="2" t="s">
        <v>48</v>
      </c>
      <c r="D131" s="2" t="s">
        <v>213</v>
      </c>
      <c r="E131" s="2" t="s">
        <v>219</v>
      </c>
      <c r="F131" s="4">
        <v>17000000</v>
      </c>
      <c r="G131" s="3">
        <v>100</v>
      </c>
      <c r="H131" s="2" t="s">
        <v>239</v>
      </c>
      <c r="I131" s="3">
        <v>280</v>
      </c>
      <c r="J131" s="2" t="s">
        <v>239</v>
      </c>
      <c r="K131" s="2" t="s">
        <v>239</v>
      </c>
      <c r="L131" s="3">
        <v>250</v>
      </c>
      <c r="M131" s="4">
        <v>90</v>
      </c>
      <c r="N131" s="3">
        <v>32000000000</v>
      </c>
      <c r="O131" s="3">
        <v>30</v>
      </c>
      <c r="P131" s="3">
        <v>1882.3529000000001</v>
      </c>
    </row>
    <row r="132" spans="1:16" x14ac:dyDescent="0.25">
      <c r="A132" s="2" t="s">
        <v>245</v>
      </c>
      <c r="B132" s="2" t="s">
        <v>10</v>
      </c>
      <c r="C132" s="2" t="s">
        <v>42</v>
      </c>
      <c r="D132" s="2" t="s">
        <v>214</v>
      </c>
      <c r="E132" s="2" t="s">
        <v>220</v>
      </c>
      <c r="F132" s="4">
        <v>30000000</v>
      </c>
      <c r="G132" s="3">
        <v>90</v>
      </c>
      <c r="H132" s="2" t="s">
        <v>239</v>
      </c>
      <c r="I132" s="3">
        <v>280</v>
      </c>
      <c r="J132" s="2" t="s">
        <v>239</v>
      </c>
      <c r="K132" s="2" t="s">
        <v>221</v>
      </c>
      <c r="L132" s="3">
        <v>420</v>
      </c>
      <c r="M132" s="4">
        <v>3</v>
      </c>
      <c r="N132" s="3">
        <v>95000000000</v>
      </c>
      <c r="O132" s="3">
        <v>-140</v>
      </c>
      <c r="P132" s="3">
        <v>3166.6667000000002</v>
      </c>
    </row>
    <row r="133" spans="1:16" x14ac:dyDescent="0.25">
      <c r="A133" s="2" t="s">
        <v>135</v>
      </c>
      <c r="B133" s="2" t="s">
        <v>10</v>
      </c>
      <c r="C133" s="2" t="s">
        <v>42</v>
      </c>
      <c r="D133" s="2" t="s">
        <v>213</v>
      </c>
      <c r="E133" s="2" t="s">
        <v>219</v>
      </c>
      <c r="F133" s="4">
        <v>5400000</v>
      </c>
      <c r="G133" s="3">
        <v>90</v>
      </c>
      <c r="H133" s="2" t="s">
        <v>239</v>
      </c>
      <c r="I133" s="3">
        <v>210</v>
      </c>
      <c r="J133" s="2" t="s">
        <v>239</v>
      </c>
      <c r="K133" s="2" t="s">
        <v>239</v>
      </c>
      <c r="L133" s="3">
        <v>250</v>
      </c>
      <c r="M133" s="4">
        <v>6</v>
      </c>
      <c r="N133" s="3">
        <v>6000000000</v>
      </c>
      <c r="O133" s="3">
        <v>-40</v>
      </c>
      <c r="P133" s="3">
        <v>1111.1111000000001</v>
      </c>
    </row>
    <row r="134" spans="1:16" x14ac:dyDescent="0.25">
      <c r="A134" s="2" t="s">
        <v>175</v>
      </c>
      <c r="B134" s="2" t="s">
        <v>10</v>
      </c>
      <c r="C134" s="2" t="s">
        <v>42</v>
      </c>
      <c r="D134" s="2" t="s">
        <v>213</v>
      </c>
      <c r="E134" s="2" t="s">
        <v>219</v>
      </c>
      <c r="F134" s="4">
        <v>18000000</v>
      </c>
      <c r="G134" s="3">
        <v>90</v>
      </c>
      <c r="H134" s="2" t="s">
        <v>239</v>
      </c>
      <c r="I134" s="3">
        <v>250</v>
      </c>
      <c r="J134" s="2" t="s">
        <v>239</v>
      </c>
      <c r="K134" s="2" t="s">
        <v>221</v>
      </c>
      <c r="L134" s="3">
        <v>420</v>
      </c>
      <c r="M134" s="4">
        <v>4</v>
      </c>
      <c r="N134" s="3">
        <v>38000000000</v>
      </c>
      <c r="O134" s="3">
        <v>-170</v>
      </c>
      <c r="P134" s="3">
        <v>2111.1111000000001</v>
      </c>
    </row>
    <row r="135" spans="1:16" x14ac:dyDescent="0.25">
      <c r="A135" s="2" t="s">
        <v>41</v>
      </c>
      <c r="B135" s="2" t="s">
        <v>10</v>
      </c>
      <c r="C135" s="2" t="s">
        <v>42</v>
      </c>
      <c r="D135" s="2" t="s">
        <v>213</v>
      </c>
      <c r="E135" s="2" t="s">
        <v>219</v>
      </c>
      <c r="F135" s="4">
        <v>14000000</v>
      </c>
      <c r="G135" s="3">
        <v>80</v>
      </c>
      <c r="H135" s="2" t="s">
        <v>239</v>
      </c>
      <c r="I135" s="3">
        <v>250</v>
      </c>
      <c r="J135" s="2" t="s">
        <v>239</v>
      </c>
      <c r="K135" s="2" t="s">
        <v>239</v>
      </c>
      <c r="L135" s="3">
        <v>250</v>
      </c>
      <c r="M135" s="4">
        <v>3</v>
      </c>
      <c r="N135" s="3">
        <v>27000000000</v>
      </c>
      <c r="O135" s="3">
        <v>0</v>
      </c>
      <c r="P135" s="3">
        <v>1928.5714</v>
      </c>
    </row>
    <row r="136" spans="1:16" x14ac:dyDescent="0.25">
      <c r="A136" s="2" t="s">
        <v>100</v>
      </c>
      <c r="B136" s="2" t="s">
        <v>10</v>
      </c>
      <c r="C136" s="2" t="s">
        <v>42</v>
      </c>
      <c r="D136" s="2" t="s">
        <v>214</v>
      </c>
      <c r="E136" s="2" t="s">
        <v>220</v>
      </c>
      <c r="F136" s="4">
        <v>34000000</v>
      </c>
      <c r="G136" s="3">
        <v>80</v>
      </c>
      <c r="H136" s="2" t="s">
        <v>239</v>
      </c>
      <c r="I136" s="3">
        <v>240</v>
      </c>
      <c r="J136" s="2" t="s">
        <v>239</v>
      </c>
      <c r="K136" s="2" t="s">
        <v>221</v>
      </c>
      <c r="L136" s="3">
        <v>400</v>
      </c>
      <c r="M136" s="4">
        <v>20</v>
      </c>
      <c r="N136" s="3">
        <v>90000000000</v>
      </c>
      <c r="O136" s="3">
        <v>-160</v>
      </c>
      <c r="P136" s="3">
        <v>2647.0587999999998</v>
      </c>
    </row>
    <row r="137" spans="1:16" x14ac:dyDescent="0.25">
      <c r="A137" s="2" t="s">
        <v>173</v>
      </c>
      <c r="B137" s="2" t="s">
        <v>10</v>
      </c>
      <c r="C137" s="2" t="s">
        <v>56</v>
      </c>
      <c r="D137" s="2" t="s">
        <v>213</v>
      </c>
      <c r="E137" s="2" t="s">
        <v>219</v>
      </c>
      <c r="F137" s="4">
        <v>14000000</v>
      </c>
      <c r="G137" s="3">
        <v>80</v>
      </c>
      <c r="H137" s="2" t="s">
        <v>239</v>
      </c>
      <c r="I137" s="3">
        <v>220</v>
      </c>
      <c r="J137" s="2" t="s">
        <v>239</v>
      </c>
      <c r="K137" s="2" t="s">
        <v>239</v>
      </c>
      <c r="L137" s="3">
        <v>280</v>
      </c>
      <c r="M137" s="4">
        <v>6</v>
      </c>
      <c r="N137" s="3">
        <v>16000000000</v>
      </c>
      <c r="O137" s="3">
        <v>-60</v>
      </c>
      <c r="P137" s="3">
        <v>1142.8570999999999</v>
      </c>
    </row>
    <row r="138" spans="1:16" x14ac:dyDescent="0.25">
      <c r="A138" s="2" t="s">
        <v>210</v>
      </c>
      <c r="B138" s="2" t="s">
        <v>10</v>
      </c>
      <c r="C138" s="2" t="s">
        <v>48</v>
      </c>
      <c r="D138" s="2" t="s">
        <v>213</v>
      </c>
      <c r="E138" s="2" t="s">
        <v>219</v>
      </c>
      <c r="F138" s="4">
        <v>21000000</v>
      </c>
      <c r="G138" s="3">
        <v>80</v>
      </c>
      <c r="H138" s="2" t="s">
        <v>239</v>
      </c>
      <c r="I138" s="3">
        <v>240</v>
      </c>
      <c r="J138" s="2" t="s">
        <v>239</v>
      </c>
      <c r="K138" s="2" t="s">
        <v>239</v>
      </c>
      <c r="L138" s="3">
        <v>300</v>
      </c>
      <c r="M138" s="4">
        <v>8</v>
      </c>
      <c r="N138" s="3">
        <v>38000000000</v>
      </c>
      <c r="O138" s="3">
        <v>-60</v>
      </c>
      <c r="P138" s="3">
        <v>1809.5237999999999</v>
      </c>
    </row>
    <row r="139" spans="1:16" x14ac:dyDescent="0.25">
      <c r="A139" s="2" t="s">
        <v>34</v>
      </c>
      <c r="B139" s="2" t="s">
        <v>4</v>
      </c>
      <c r="C139" s="2" t="s">
        <v>5</v>
      </c>
      <c r="D139" s="2" t="s">
        <v>214</v>
      </c>
      <c r="E139" s="2" t="s">
        <v>220</v>
      </c>
      <c r="F139" s="4">
        <v>173000000</v>
      </c>
      <c r="G139" s="3">
        <v>75</v>
      </c>
      <c r="H139" s="2" t="s">
        <v>239</v>
      </c>
      <c r="I139" s="3">
        <v>260</v>
      </c>
      <c r="J139" s="2" t="s">
        <v>239</v>
      </c>
      <c r="K139" s="2" t="s">
        <v>239</v>
      </c>
      <c r="L139" s="3">
        <v>220</v>
      </c>
      <c r="M139" s="4">
        <v>8</v>
      </c>
      <c r="N139" s="3">
        <v>560000000000</v>
      </c>
      <c r="O139" s="3">
        <v>40</v>
      </c>
      <c r="P139" s="3">
        <v>3236.9942000000001</v>
      </c>
    </row>
    <row r="140" spans="1:16" x14ac:dyDescent="0.25">
      <c r="A140" s="2" t="s">
        <v>58</v>
      </c>
      <c r="B140" s="2" t="s">
        <v>10</v>
      </c>
      <c r="C140" s="2" t="s">
        <v>17</v>
      </c>
      <c r="D140" s="2" t="s">
        <v>213</v>
      </c>
      <c r="E140" s="2" t="s">
        <v>219</v>
      </c>
      <c r="F140" s="4">
        <v>29000000</v>
      </c>
      <c r="G140" s="3">
        <v>75</v>
      </c>
      <c r="H140" s="2" t="s">
        <v>239</v>
      </c>
      <c r="I140" s="3">
        <v>240</v>
      </c>
      <c r="J140" s="2" t="s">
        <v>239</v>
      </c>
      <c r="K140" s="2" t="s">
        <v>221</v>
      </c>
      <c r="L140" s="3">
        <v>350</v>
      </c>
      <c r="M140" s="4">
        <v>5</v>
      </c>
      <c r="N140" s="3">
        <v>70000000000</v>
      </c>
      <c r="O140" s="3">
        <v>-110</v>
      </c>
      <c r="P140" s="3">
        <v>2413.7930999999999</v>
      </c>
    </row>
    <row r="141" spans="1:16" x14ac:dyDescent="0.25">
      <c r="A141" s="2" t="s">
        <v>16</v>
      </c>
      <c r="B141" s="2" t="s">
        <v>10</v>
      </c>
      <c r="C141" s="2" t="s">
        <v>17</v>
      </c>
      <c r="D141" s="2" t="s">
        <v>213</v>
      </c>
      <c r="E141" s="2" t="s">
        <v>219</v>
      </c>
      <c r="F141" s="4">
        <v>36000000</v>
      </c>
      <c r="G141" s="3">
        <v>70</v>
      </c>
      <c r="H141" s="2" t="s">
        <v>239</v>
      </c>
      <c r="I141" s="3">
        <v>210</v>
      </c>
      <c r="J141" s="2" t="s">
        <v>239</v>
      </c>
      <c r="K141" s="2" t="s">
        <v>221</v>
      </c>
      <c r="L141" s="3">
        <v>500</v>
      </c>
      <c r="M141" s="4">
        <v>20</v>
      </c>
      <c r="N141" s="3">
        <v>115000000000</v>
      </c>
      <c r="O141" s="3">
        <v>-290</v>
      </c>
      <c r="P141" s="3">
        <v>3194.4443999999999</v>
      </c>
    </row>
    <row r="142" spans="1:16" x14ac:dyDescent="0.25">
      <c r="A142" s="2" t="s">
        <v>53</v>
      </c>
      <c r="B142" s="2" t="s">
        <v>10</v>
      </c>
      <c r="C142" s="2" t="s">
        <v>42</v>
      </c>
      <c r="D142" s="2" t="s">
        <v>213</v>
      </c>
      <c r="E142" s="2" t="s">
        <v>219</v>
      </c>
      <c r="F142" s="4">
        <v>23000000</v>
      </c>
      <c r="G142" s="3">
        <v>70</v>
      </c>
      <c r="H142" s="2" t="s">
        <v>239</v>
      </c>
      <c r="I142" s="3">
        <v>210</v>
      </c>
      <c r="J142" s="2" t="s">
        <v>239</v>
      </c>
      <c r="K142" s="2" t="s">
        <v>239</v>
      </c>
      <c r="L142" s="3">
        <v>220</v>
      </c>
      <c r="M142" s="4">
        <v>3</v>
      </c>
      <c r="N142" s="3">
        <v>23000000000</v>
      </c>
      <c r="O142" s="3">
        <v>-10</v>
      </c>
      <c r="P142" s="3">
        <v>1000</v>
      </c>
    </row>
    <row r="143" spans="1:16" x14ac:dyDescent="0.25">
      <c r="A143" s="2" t="s">
        <v>105</v>
      </c>
      <c r="B143" s="2" t="s">
        <v>10</v>
      </c>
      <c r="C143" s="2" t="s">
        <v>42</v>
      </c>
      <c r="D143" s="2" t="s">
        <v>213</v>
      </c>
      <c r="E143" s="2" t="s">
        <v>219</v>
      </c>
      <c r="F143" s="4">
        <v>14000000</v>
      </c>
      <c r="G143" s="3">
        <v>70</v>
      </c>
      <c r="H143" s="2" t="s">
        <v>239</v>
      </c>
      <c r="I143" s="3">
        <v>180</v>
      </c>
      <c r="J143" s="2" t="s">
        <v>239</v>
      </c>
      <c r="K143" s="2" t="s">
        <v>239</v>
      </c>
      <c r="L143" s="3">
        <v>220</v>
      </c>
      <c r="M143" s="4">
        <v>8</v>
      </c>
      <c r="N143" s="3">
        <v>38000000000</v>
      </c>
      <c r="O143" s="3">
        <v>-40</v>
      </c>
      <c r="P143" s="3">
        <v>2714.2856999999999</v>
      </c>
    </row>
    <row r="144" spans="1:16" x14ac:dyDescent="0.25">
      <c r="A144" s="2" t="s">
        <v>144</v>
      </c>
      <c r="B144" s="2" t="s">
        <v>10</v>
      </c>
      <c r="C144" s="2" t="s">
        <v>42</v>
      </c>
      <c r="D144" s="2" t="s">
        <v>213</v>
      </c>
      <c r="E144" s="2" t="s">
        <v>219</v>
      </c>
      <c r="F144" s="4">
        <v>24000000</v>
      </c>
      <c r="G144" s="3">
        <v>70</v>
      </c>
      <c r="H144" s="2" t="s">
        <v>239</v>
      </c>
      <c r="I144" s="3">
        <v>170</v>
      </c>
      <c r="J144" s="2" t="s">
        <v>239</v>
      </c>
      <c r="K144" s="2" t="s">
        <v>239</v>
      </c>
      <c r="L144" s="3">
        <v>220</v>
      </c>
      <c r="M144" s="4">
        <v>4</v>
      </c>
      <c r="N144" s="3">
        <v>32000000000</v>
      </c>
      <c r="O144" s="3">
        <v>-50</v>
      </c>
      <c r="P144" s="3">
        <v>1333.3333</v>
      </c>
    </row>
    <row r="145" spans="1:16" x14ac:dyDescent="0.25">
      <c r="A145" s="2" t="s">
        <v>191</v>
      </c>
      <c r="B145" s="2" t="s">
        <v>10</v>
      </c>
      <c r="C145" s="2" t="s">
        <v>56</v>
      </c>
      <c r="D145" s="2" t="s">
        <v>213</v>
      </c>
      <c r="E145" s="2" t="s">
        <v>219</v>
      </c>
      <c r="F145" s="4">
        <v>67000000</v>
      </c>
      <c r="G145" s="3">
        <v>70</v>
      </c>
      <c r="H145" s="2" t="s">
        <v>239</v>
      </c>
      <c r="I145" s="3">
        <v>220</v>
      </c>
      <c r="J145" s="2" t="s">
        <v>239</v>
      </c>
      <c r="K145" s="2" t="s">
        <v>239</v>
      </c>
      <c r="L145" s="3">
        <v>250</v>
      </c>
      <c r="M145" s="4">
        <v>5</v>
      </c>
      <c r="N145" s="3">
        <v>95000000000</v>
      </c>
      <c r="O145" s="3">
        <v>-30</v>
      </c>
      <c r="P145" s="3">
        <v>1417.9104</v>
      </c>
    </row>
    <row r="146" spans="1:16" x14ac:dyDescent="0.25">
      <c r="A146" s="2" t="s">
        <v>54</v>
      </c>
      <c r="B146" s="2" t="s">
        <v>4</v>
      </c>
      <c r="C146" s="2" t="s">
        <v>51</v>
      </c>
      <c r="D146" s="2" t="s">
        <v>213</v>
      </c>
      <c r="E146" s="2" t="s">
        <v>219</v>
      </c>
      <c r="F146" s="4">
        <v>55000000</v>
      </c>
      <c r="G146" s="3">
        <v>60</v>
      </c>
      <c r="H146" s="2" t="s">
        <v>239</v>
      </c>
      <c r="I146" s="3">
        <v>170</v>
      </c>
      <c r="J146" s="2" t="s">
        <v>239</v>
      </c>
      <c r="K146" s="2" t="s">
        <v>239</v>
      </c>
      <c r="L146" s="3">
        <v>200</v>
      </c>
      <c r="M146" s="4">
        <v>20</v>
      </c>
      <c r="N146" s="3">
        <v>70000000000</v>
      </c>
      <c r="O146" s="3">
        <v>-30</v>
      </c>
      <c r="P146" s="3">
        <v>1272.7273</v>
      </c>
    </row>
    <row r="147" spans="1:16" x14ac:dyDescent="0.25">
      <c r="A147" s="2" t="s">
        <v>69</v>
      </c>
      <c r="B147" s="2" t="s">
        <v>10</v>
      </c>
      <c r="C147" s="2" t="s">
        <v>56</v>
      </c>
      <c r="D147" s="2" t="s">
        <v>213</v>
      </c>
      <c r="E147" s="2" t="s">
        <v>219</v>
      </c>
      <c r="F147" s="4">
        <v>900000</v>
      </c>
      <c r="G147" s="3">
        <v>60</v>
      </c>
      <c r="H147" s="2" t="s">
        <v>239</v>
      </c>
      <c r="I147" s="3">
        <v>160</v>
      </c>
      <c r="J147" s="2" t="s">
        <v>239</v>
      </c>
      <c r="K147" s="2" t="s">
        <v>239</v>
      </c>
      <c r="L147" s="3">
        <v>220</v>
      </c>
      <c r="M147" s="4">
        <v>3</v>
      </c>
      <c r="N147" s="3">
        <v>3000000000</v>
      </c>
      <c r="O147" s="3">
        <v>-60</v>
      </c>
      <c r="P147" s="3">
        <v>3333.3332999999998</v>
      </c>
    </row>
    <row r="148" spans="1:16" x14ac:dyDescent="0.25">
      <c r="A148" s="2" t="s">
        <v>70</v>
      </c>
      <c r="B148" s="2" t="s">
        <v>10</v>
      </c>
      <c r="C148" s="2" t="s">
        <v>17</v>
      </c>
      <c r="D148" s="2" t="s">
        <v>213</v>
      </c>
      <c r="E148" s="2" t="s">
        <v>219</v>
      </c>
      <c r="F148" s="4">
        <v>102000000</v>
      </c>
      <c r="G148" s="3">
        <v>60</v>
      </c>
      <c r="H148" s="2" t="s">
        <v>239</v>
      </c>
      <c r="I148" s="3">
        <v>140</v>
      </c>
      <c r="J148" s="2" t="s">
        <v>239</v>
      </c>
      <c r="K148" s="2" t="s">
        <v>239</v>
      </c>
      <c r="L148" s="3">
        <v>200</v>
      </c>
      <c r="M148" s="4">
        <v>8</v>
      </c>
      <c r="N148" s="3">
        <v>85000000000</v>
      </c>
      <c r="O148" s="3">
        <v>-60</v>
      </c>
      <c r="P148" s="3">
        <v>833.33330000000001</v>
      </c>
    </row>
    <row r="149" spans="1:16" x14ac:dyDescent="0.25">
      <c r="A149" s="2" t="s">
        <v>91</v>
      </c>
      <c r="B149" s="2" t="s">
        <v>10</v>
      </c>
      <c r="C149" s="2" t="s">
        <v>56</v>
      </c>
      <c r="D149" s="2" t="s">
        <v>213</v>
      </c>
      <c r="E149" s="2" t="s">
        <v>219</v>
      </c>
      <c r="F149" s="4">
        <v>126000000</v>
      </c>
      <c r="G149" s="3">
        <v>60</v>
      </c>
      <c r="H149" s="2" t="s">
        <v>239</v>
      </c>
      <c r="I149" s="3">
        <v>180</v>
      </c>
      <c r="J149" s="2" t="s">
        <v>239</v>
      </c>
      <c r="K149" s="2" t="s">
        <v>239</v>
      </c>
      <c r="L149" s="3">
        <v>250</v>
      </c>
      <c r="M149" s="4">
        <v>15</v>
      </c>
      <c r="N149" s="3">
        <v>240000000000</v>
      </c>
      <c r="O149" s="3">
        <v>-70</v>
      </c>
      <c r="P149" s="3">
        <v>1904.7619</v>
      </c>
    </row>
    <row r="150" spans="1:16" x14ac:dyDescent="0.25">
      <c r="A150" s="2" t="s">
        <v>97</v>
      </c>
      <c r="B150" s="2" t="s">
        <v>10</v>
      </c>
      <c r="C150" s="2" t="s">
        <v>42</v>
      </c>
      <c r="D150" s="2" t="s">
        <v>213</v>
      </c>
      <c r="E150" s="2" t="s">
        <v>219</v>
      </c>
      <c r="F150" s="4">
        <v>2800000</v>
      </c>
      <c r="G150" s="3">
        <v>60</v>
      </c>
      <c r="H150" s="2" t="s">
        <v>239</v>
      </c>
      <c r="I150" s="3">
        <v>180</v>
      </c>
      <c r="J150" s="2" t="s">
        <v>239</v>
      </c>
      <c r="K150" s="2" t="s">
        <v>239</v>
      </c>
      <c r="L150" s="3">
        <v>220</v>
      </c>
      <c r="M150" s="4">
        <v>5</v>
      </c>
      <c r="N150" s="3">
        <v>5000000000</v>
      </c>
      <c r="O150" s="3">
        <v>-40</v>
      </c>
      <c r="P150" s="3">
        <v>1785.7143000000001</v>
      </c>
    </row>
    <row r="151" spans="1:16" x14ac:dyDescent="0.25">
      <c r="A151" s="2" t="s">
        <v>106</v>
      </c>
      <c r="B151" s="2" t="s">
        <v>10</v>
      </c>
      <c r="C151" s="2" t="s">
        <v>42</v>
      </c>
      <c r="D151" s="2" t="s">
        <v>213</v>
      </c>
      <c r="E151" s="2" t="s">
        <v>219</v>
      </c>
      <c r="F151" s="4">
        <v>2200000</v>
      </c>
      <c r="G151" s="3">
        <v>60</v>
      </c>
      <c r="H151" s="2" t="s">
        <v>239</v>
      </c>
      <c r="I151" s="3">
        <v>150</v>
      </c>
      <c r="J151" s="2" t="s">
        <v>239</v>
      </c>
      <c r="K151" s="2" t="s">
        <v>239</v>
      </c>
      <c r="L151" s="3">
        <v>200</v>
      </c>
      <c r="M151" s="4">
        <v>5</v>
      </c>
      <c r="N151" s="3">
        <v>2200000000</v>
      </c>
      <c r="O151" s="3">
        <v>-50</v>
      </c>
      <c r="P151" s="3">
        <v>1000</v>
      </c>
    </row>
    <row r="152" spans="1:16" x14ac:dyDescent="0.25">
      <c r="A152" s="2" t="s">
        <v>140</v>
      </c>
      <c r="B152" s="2" t="s">
        <v>10</v>
      </c>
      <c r="C152" s="2" t="s">
        <v>56</v>
      </c>
      <c r="D152" s="2" t="s">
        <v>213</v>
      </c>
      <c r="E152" s="2" t="s">
        <v>219</v>
      </c>
      <c r="F152" s="4">
        <v>30000000</v>
      </c>
      <c r="G152" s="3">
        <v>60</v>
      </c>
      <c r="H152" s="2" t="s">
        <v>239</v>
      </c>
      <c r="I152" s="3">
        <v>180</v>
      </c>
      <c r="J152" s="2" t="s">
        <v>239</v>
      </c>
      <c r="K152" s="2" t="s">
        <v>239</v>
      </c>
      <c r="L152" s="3">
        <v>220</v>
      </c>
      <c r="M152" s="4">
        <v>7</v>
      </c>
      <c r="N152" s="3">
        <v>22000000000</v>
      </c>
      <c r="O152" s="3">
        <v>-40</v>
      </c>
      <c r="P152" s="3">
        <v>733.33330000000001</v>
      </c>
    </row>
    <row r="153" spans="1:16" x14ac:dyDescent="0.25">
      <c r="A153" s="2" t="s">
        <v>152</v>
      </c>
      <c r="B153" s="2" t="s">
        <v>10</v>
      </c>
      <c r="C153" s="2" t="s">
        <v>48</v>
      </c>
      <c r="D153" s="2" t="s">
        <v>213</v>
      </c>
      <c r="E153" s="2" t="s">
        <v>219</v>
      </c>
      <c r="F153" s="4">
        <v>33000000</v>
      </c>
      <c r="G153" s="3">
        <v>60</v>
      </c>
      <c r="H153" s="2" t="s">
        <v>239</v>
      </c>
      <c r="I153" s="3">
        <v>180</v>
      </c>
      <c r="J153" s="2" t="s">
        <v>239</v>
      </c>
      <c r="K153" s="2" t="s">
        <v>239</v>
      </c>
      <c r="L153" s="3">
        <v>250</v>
      </c>
      <c r="M153" s="4">
        <v>8</v>
      </c>
      <c r="N153" s="3">
        <v>22000000000</v>
      </c>
      <c r="O153" s="3">
        <v>-70</v>
      </c>
      <c r="P153" s="3">
        <v>666.66669999999999</v>
      </c>
    </row>
    <row r="154" spans="1:16" x14ac:dyDescent="0.25">
      <c r="A154" s="2" t="s">
        <v>177</v>
      </c>
      <c r="B154" s="2" t="s">
        <v>10</v>
      </c>
      <c r="C154" s="2" t="s">
        <v>42</v>
      </c>
      <c r="D154" s="2" t="s">
        <v>213</v>
      </c>
      <c r="E154" s="2" t="s">
        <v>219</v>
      </c>
      <c r="F154" s="4">
        <v>8600000</v>
      </c>
      <c r="G154" s="3">
        <v>60</v>
      </c>
      <c r="H154" s="2" t="s">
        <v>239</v>
      </c>
      <c r="I154" s="3">
        <v>170</v>
      </c>
      <c r="J154" s="2" t="s">
        <v>239</v>
      </c>
      <c r="K154" s="2" t="s">
        <v>239</v>
      </c>
      <c r="L154" s="3">
        <v>200</v>
      </c>
      <c r="M154" s="4">
        <v>8</v>
      </c>
      <c r="N154" s="3">
        <v>8000000000</v>
      </c>
      <c r="O154" s="3">
        <v>-30</v>
      </c>
      <c r="P154" s="3">
        <v>930.23260000000005</v>
      </c>
    </row>
    <row r="155" spans="1:16" x14ac:dyDescent="0.25">
      <c r="A155" s="2" t="s">
        <v>193</v>
      </c>
      <c r="B155" s="2" t="s">
        <v>10</v>
      </c>
      <c r="C155" s="2" t="s">
        <v>42</v>
      </c>
      <c r="D155" s="2" t="s">
        <v>213</v>
      </c>
      <c r="E155" s="2" t="s">
        <v>219</v>
      </c>
      <c r="F155" s="4">
        <v>9000000</v>
      </c>
      <c r="G155" s="3">
        <v>60</v>
      </c>
      <c r="H155" s="2" t="s">
        <v>239</v>
      </c>
      <c r="I155" s="3">
        <v>160</v>
      </c>
      <c r="J155" s="2" t="s">
        <v>239</v>
      </c>
      <c r="K155" s="2" t="s">
        <v>239</v>
      </c>
      <c r="L155" s="3">
        <v>220</v>
      </c>
      <c r="M155" s="4">
        <v>4</v>
      </c>
      <c r="N155" s="3">
        <v>16000000000</v>
      </c>
      <c r="O155" s="3">
        <v>-60</v>
      </c>
      <c r="P155" s="3">
        <v>1777.7778000000001</v>
      </c>
    </row>
    <row r="156" spans="1:16" x14ac:dyDescent="0.25">
      <c r="A156" s="2" t="s">
        <v>198</v>
      </c>
      <c r="B156" s="2" t="s">
        <v>10</v>
      </c>
      <c r="C156" s="2" t="s">
        <v>56</v>
      </c>
      <c r="D156" s="2" t="s">
        <v>213</v>
      </c>
      <c r="E156" s="2" t="s">
        <v>219</v>
      </c>
      <c r="F156" s="4">
        <v>50000000</v>
      </c>
      <c r="G156" s="3">
        <v>60</v>
      </c>
      <c r="H156" s="2" t="s">
        <v>239</v>
      </c>
      <c r="I156" s="3">
        <v>220</v>
      </c>
      <c r="J156" s="2" t="s">
        <v>239</v>
      </c>
      <c r="K156" s="2" t="s">
        <v>239</v>
      </c>
      <c r="L156" s="3">
        <v>220</v>
      </c>
      <c r="M156" s="4">
        <v>5</v>
      </c>
      <c r="N156" s="3">
        <v>85000000000</v>
      </c>
      <c r="O156" s="3">
        <v>0</v>
      </c>
      <c r="P156" s="3">
        <v>1700</v>
      </c>
    </row>
    <row r="157" spans="1:16" x14ac:dyDescent="0.25">
      <c r="A157" s="2" t="s">
        <v>3</v>
      </c>
      <c r="B157" s="2" t="s">
        <v>4</v>
      </c>
      <c r="C157" s="2" t="s">
        <v>5</v>
      </c>
      <c r="D157" s="2" t="s">
        <v>213</v>
      </c>
      <c r="E157" s="2" t="s">
        <v>219</v>
      </c>
      <c r="F157" s="4">
        <v>42000000</v>
      </c>
      <c r="G157" s="3">
        <v>50</v>
      </c>
      <c r="H157" s="2" t="s">
        <v>239</v>
      </c>
      <c r="I157" s="3">
        <v>90</v>
      </c>
      <c r="J157" s="2" t="s">
        <v>239</v>
      </c>
      <c r="K157" s="2" t="s">
        <v>239</v>
      </c>
      <c r="L157" s="3">
        <v>180</v>
      </c>
      <c r="M157" s="4">
        <v>10</v>
      </c>
      <c r="N157" s="3">
        <v>20000000000</v>
      </c>
      <c r="O157" s="3">
        <v>-90</v>
      </c>
      <c r="P157" s="3">
        <v>476.19049999999999</v>
      </c>
    </row>
    <row r="158" spans="1:16" x14ac:dyDescent="0.25">
      <c r="A158" s="2" t="s">
        <v>64</v>
      </c>
      <c r="B158" s="2" t="s">
        <v>10</v>
      </c>
      <c r="C158" s="2" t="s">
        <v>17</v>
      </c>
      <c r="D158" s="2" t="s">
        <v>213</v>
      </c>
      <c r="E158" s="2" t="s">
        <v>219</v>
      </c>
      <c r="F158" s="4">
        <v>18000000</v>
      </c>
      <c r="G158" s="3">
        <v>50</v>
      </c>
      <c r="H158" s="2" t="s">
        <v>239</v>
      </c>
      <c r="I158" s="3">
        <v>130</v>
      </c>
      <c r="J158" s="2" t="s">
        <v>239</v>
      </c>
      <c r="K158" s="2" t="s">
        <v>239</v>
      </c>
      <c r="L158" s="3">
        <v>220</v>
      </c>
      <c r="M158" s="4">
        <v>4</v>
      </c>
      <c r="N158" s="3">
        <v>18000000000</v>
      </c>
      <c r="O158" s="3">
        <v>-90</v>
      </c>
      <c r="P158" s="3">
        <v>1000</v>
      </c>
    </row>
    <row r="159" spans="1:16" x14ac:dyDescent="0.25">
      <c r="A159" s="2" t="s">
        <v>76</v>
      </c>
      <c r="B159" s="2" t="s">
        <v>19</v>
      </c>
      <c r="C159" s="2" t="s">
        <v>20</v>
      </c>
      <c r="D159" s="2" t="s">
        <v>214</v>
      </c>
      <c r="E159" s="2" t="s">
        <v>220</v>
      </c>
      <c r="F159" s="4">
        <v>11000000</v>
      </c>
      <c r="G159" s="3">
        <v>50</v>
      </c>
      <c r="H159" s="2" t="s">
        <v>239</v>
      </c>
      <c r="I159" s="3">
        <v>90</v>
      </c>
      <c r="J159" s="2" t="s">
        <v>239</v>
      </c>
      <c r="K159" s="2" t="s">
        <v>221</v>
      </c>
      <c r="L159" s="3">
        <v>300</v>
      </c>
      <c r="M159" s="4">
        <v>4</v>
      </c>
      <c r="N159" s="3">
        <v>110000000000</v>
      </c>
      <c r="O159" s="3">
        <v>-210</v>
      </c>
      <c r="P159" s="3">
        <v>10000</v>
      </c>
    </row>
    <row r="160" spans="1:16" x14ac:dyDescent="0.25">
      <c r="A160" s="2" t="s">
        <v>89</v>
      </c>
      <c r="B160" s="2" t="s">
        <v>10</v>
      </c>
      <c r="C160" s="2" t="s">
        <v>56</v>
      </c>
      <c r="D160" s="2" t="s">
        <v>213</v>
      </c>
      <c r="E160" s="2" t="s">
        <v>219</v>
      </c>
      <c r="F160" s="4">
        <v>3700000</v>
      </c>
      <c r="G160" s="3">
        <v>50</v>
      </c>
      <c r="H160" s="2" t="s">
        <v>239</v>
      </c>
      <c r="I160" s="3">
        <v>110</v>
      </c>
      <c r="J160" s="2" t="s">
        <v>239</v>
      </c>
      <c r="K160" s="2" t="s">
        <v>239</v>
      </c>
      <c r="L160" s="3">
        <v>180</v>
      </c>
      <c r="M160" s="4">
        <v>6</v>
      </c>
      <c r="N160" s="3">
        <v>4000000000</v>
      </c>
      <c r="O160" s="3">
        <v>-70</v>
      </c>
      <c r="P160" s="3">
        <v>1081.0811000000001</v>
      </c>
    </row>
    <row r="161" spans="1:16" x14ac:dyDescent="0.25">
      <c r="A161" s="2" t="s">
        <v>133</v>
      </c>
      <c r="B161" s="2" t="s">
        <v>4</v>
      </c>
      <c r="C161" s="2" t="s">
        <v>25</v>
      </c>
      <c r="D161" s="2" t="s">
        <v>214</v>
      </c>
      <c r="E161" s="2" t="s">
        <v>220</v>
      </c>
      <c r="F161" s="4">
        <v>5600000</v>
      </c>
      <c r="G161" s="3">
        <v>50</v>
      </c>
      <c r="H161" s="2" t="s">
        <v>239</v>
      </c>
      <c r="I161" s="3">
        <v>120</v>
      </c>
      <c r="J161" s="2" t="s">
        <v>239</v>
      </c>
      <c r="K161" s="2" t="s">
        <v>220</v>
      </c>
      <c r="L161" s="3">
        <v>800</v>
      </c>
      <c r="M161" s="4">
        <v>120</v>
      </c>
      <c r="N161" s="3">
        <v>25000000000</v>
      </c>
      <c r="O161" s="3">
        <v>-680</v>
      </c>
      <c r="P161" s="3">
        <v>4464.2857000000004</v>
      </c>
    </row>
    <row r="162" spans="1:16" x14ac:dyDescent="0.25">
      <c r="A162" s="2" t="s">
        <v>141</v>
      </c>
      <c r="B162" s="2" t="s">
        <v>10</v>
      </c>
      <c r="C162" s="2" t="s">
        <v>48</v>
      </c>
      <c r="D162" s="2" t="s">
        <v>213</v>
      </c>
      <c r="E162" s="2" t="s">
        <v>219</v>
      </c>
      <c r="F162" s="4">
        <v>21000000</v>
      </c>
      <c r="G162" s="3">
        <v>50</v>
      </c>
      <c r="H162" s="2" t="s">
        <v>239</v>
      </c>
      <c r="I162" s="3">
        <v>140</v>
      </c>
      <c r="J162" s="2" t="s">
        <v>239</v>
      </c>
      <c r="K162" s="2" t="s">
        <v>239</v>
      </c>
      <c r="L162" s="3">
        <v>200</v>
      </c>
      <c r="M162" s="4">
        <v>8</v>
      </c>
      <c r="N162" s="3">
        <v>18000000000</v>
      </c>
      <c r="O162" s="3">
        <v>-60</v>
      </c>
      <c r="P162" s="3">
        <v>857.14290000000005</v>
      </c>
    </row>
    <row r="163" spans="1:16" x14ac:dyDescent="0.25">
      <c r="A163" s="2" t="s">
        <v>158</v>
      </c>
      <c r="B163" s="2" t="s">
        <v>10</v>
      </c>
      <c r="C163" s="2" t="s">
        <v>42</v>
      </c>
      <c r="D163" s="2" t="s">
        <v>213</v>
      </c>
      <c r="E163" s="2" t="s">
        <v>219</v>
      </c>
      <c r="F163" s="4">
        <v>27000000</v>
      </c>
      <c r="G163" s="3">
        <v>50</v>
      </c>
      <c r="H163" s="2" t="s">
        <v>239</v>
      </c>
      <c r="I163" s="3">
        <v>130</v>
      </c>
      <c r="J163" s="2" t="s">
        <v>239</v>
      </c>
      <c r="K163" s="2" t="s">
        <v>239</v>
      </c>
      <c r="L163" s="3">
        <v>200</v>
      </c>
      <c r="M163" s="4">
        <v>4</v>
      </c>
      <c r="N163" s="3">
        <v>18000000000</v>
      </c>
      <c r="O163" s="3">
        <v>-70</v>
      </c>
      <c r="P163" s="3">
        <v>666.66669999999999</v>
      </c>
    </row>
    <row r="164" spans="1:16" x14ac:dyDescent="0.25">
      <c r="A164" s="2" t="s">
        <v>159</v>
      </c>
      <c r="B164" s="2" t="s">
        <v>10</v>
      </c>
      <c r="C164" s="2" t="s">
        <v>42</v>
      </c>
      <c r="D164" s="2" t="s">
        <v>214</v>
      </c>
      <c r="E164" s="2" t="s">
        <v>220</v>
      </c>
      <c r="F164" s="4">
        <v>229000000</v>
      </c>
      <c r="G164" s="3">
        <v>50</v>
      </c>
      <c r="H164" s="2" t="s">
        <v>239</v>
      </c>
      <c r="I164" s="3">
        <v>220</v>
      </c>
      <c r="J164" s="2" t="s">
        <v>239</v>
      </c>
      <c r="K164" s="2" t="s">
        <v>221</v>
      </c>
      <c r="L164" s="3">
        <v>450</v>
      </c>
      <c r="M164" s="4">
        <v>24</v>
      </c>
      <c r="N164" s="3">
        <v>560000000000</v>
      </c>
      <c r="O164" s="3">
        <v>-230</v>
      </c>
      <c r="P164" s="3">
        <v>2445.4148</v>
      </c>
    </row>
    <row r="165" spans="1:16" x14ac:dyDescent="0.25">
      <c r="A165" s="2" t="s">
        <v>63</v>
      </c>
      <c r="B165" s="2" t="s">
        <v>10</v>
      </c>
      <c r="C165" s="2" t="s">
        <v>17</v>
      </c>
      <c r="D165" s="2" t="s">
        <v>213</v>
      </c>
      <c r="E165" s="2" t="s">
        <v>219</v>
      </c>
      <c r="F165" s="4">
        <v>5000000</v>
      </c>
      <c r="G165" s="3">
        <v>40</v>
      </c>
      <c r="H165" s="2" t="s">
        <v>239</v>
      </c>
      <c r="I165" s="3">
        <v>110</v>
      </c>
      <c r="J165" s="2" t="s">
        <v>239</v>
      </c>
      <c r="K165" s="2" t="s">
        <v>239</v>
      </c>
      <c r="L165" s="3">
        <v>200</v>
      </c>
      <c r="M165" s="4">
        <v>4</v>
      </c>
      <c r="N165" s="3">
        <v>4500000000</v>
      </c>
      <c r="O165" s="3">
        <v>-90</v>
      </c>
      <c r="P165" s="3">
        <v>900</v>
      </c>
    </row>
    <row r="166" spans="1:16" x14ac:dyDescent="0.25">
      <c r="A166" s="2" t="s">
        <v>185</v>
      </c>
      <c r="B166" s="2" t="s">
        <v>10</v>
      </c>
      <c r="C166" s="2" t="s">
        <v>11</v>
      </c>
      <c r="D166" s="2" t="s">
        <v>213</v>
      </c>
      <c r="E166" s="2" t="s">
        <v>219</v>
      </c>
      <c r="F166" s="4">
        <v>49000000</v>
      </c>
      <c r="G166" s="3">
        <v>40</v>
      </c>
      <c r="H166" s="2" t="s">
        <v>239</v>
      </c>
      <c r="I166" s="3">
        <v>110</v>
      </c>
      <c r="J166" s="2" t="s">
        <v>239</v>
      </c>
      <c r="K166" s="2" t="s">
        <v>239</v>
      </c>
      <c r="L166" s="3">
        <v>200</v>
      </c>
      <c r="M166" s="4">
        <v>80</v>
      </c>
      <c r="N166" s="3">
        <v>60000000000</v>
      </c>
      <c r="O166" s="3">
        <v>-90</v>
      </c>
      <c r="P166" s="3">
        <v>1224.4898000000001</v>
      </c>
    </row>
    <row r="167" spans="1:16" x14ac:dyDescent="0.25">
      <c r="A167" s="2" t="s">
        <v>55</v>
      </c>
      <c r="B167" s="2" t="s">
        <v>10</v>
      </c>
      <c r="C167" s="2" t="s">
        <v>56</v>
      </c>
      <c r="D167" s="2" t="s">
        <v>213</v>
      </c>
      <c r="E167" s="2" t="s">
        <v>219</v>
      </c>
      <c r="F167" s="4">
        <v>13000000</v>
      </c>
      <c r="G167" s="3">
        <v>30</v>
      </c>
      <c r="H167" s="2" t="s">
        <v>239</v>
      </c>
      <c r="I167" s="3">
        <v>90</v>
      </c>
      <c r="J167" s="2" t="s">
        <v>239</v>
      </c>
      <c r="K167" s="2" t="s">
        <v>239</v>
      </c>
      <c r="L167" s="3">
        <v>180</v>
      </c>
      <c r="M167" s="4">
        <v>8</v>
      </c>
      <c r="N167" s="3">
        <v>12000000000</v>
      </c>
      <c r="O167" s="3">
        <v>-90</v>
      </c>
      <c r="P167" s="3">
        <v>923.07690000000002</v>
      </c>
    </row>
    <row r="168" spans="1:16" x14ac:dyDescent="0.25">
      <c r="A168" s="2" t="s">
        <v>209</v>
      </c>
      <c r="B168" s="2" t="s">
        <v>4</v>
      </c>
      <c r="C168" s="2" t="s">
        <v>25</v>
      </c>
      <c r="D168" s="2" t="s">
        <v>213</v>
      </c>
      <c r="E168" s="2" t="s">
        <v>219</v>
      </c>
      <c r="F168" s="4">
        <v>34000000</v>
      </c>
      <c r="G168" s="3">
        <v>30</v>
      </c>
      <c r="H168" s="2" t="s">
        <v>239</v>
      </c>
      <c r="I168" s="3">
        <v>90</v>
      </c>
      <c r="J168" s="2" t="s">
        <v>239</v>
      </c>
      <c r="K168" s="2" t="s">
        <v>239</v>
      </c>
      <c r="L168" s="3">
        <v>180</v>
      </c>
      <c r="M168" s="4">
        <v>30</v>
      </c>
      <c r="N168" s="3">
        <v>28000000000</v>
      </c>
      <c r="O168" s="3">
        <v>-90</v>
      </c>
      <c r="P168" s="3">
        <v>823.52940000000001</v>
      </c>
    </row>
    <row r="169" spans="1:16" x14ac:dyDescent="0.25">
      <c r="A169" s="2" t="s">
        <v>189</v>
      </c>
      <c r="B169" s="2" t="s">
        <v>4</v>
      </c>
      <c r="C169" s="2" t="s">
        <v>25</v>
      </c>
      <c r="D169" s="2" t="s">
        <v>213</v>
      </c>
      <c r="E169" s="2" t="s">
        <v>219</v>
      </c>
      <c r="F169" s="4">
        <v>24000000</v>
      </c>
      <c r="G169" s="3">
        <v>20</v>
      </c>
      <c r="H169" s="2" t="s">
        <v>239</v>
      </c>
      <c r="I169" s="3">
        <v>60</v>
      </c>
      <c r="J169" s="2" t="s">
        <v>239</v>
      </c>
      <c r="K169" s="2" t="s">
        <v>239</v>
      </c>
      <c r="L169" s="3">
        <v>180</v>
      </c>
      <c r="M169" s="4">
        <v>50</v>
      </c>
      <c r="N169" s="3">
        <v>25000000000</v>
      </c>
      <c r="O169" s="3">
        <v>-120</v>
      </c>
      <c r="P169" s="3">
        <v>1041.6667</v>
      </c>
    </row>
    <row r="170" spans="1:16" x14ac:dyDescent="0.25">
      <c r="A170" s="2" t="s">
        <v>205</v>
      </c>
      <c r="B170" s="2" t="s">
        <v>23</v>
      </c>
      <c r="C170" s="2" t="s">
        <v>23</v>
      </c>
      <c r="D170" s="2" t="s">
        <v>214</v>
      </c>
      <c r="E170" s="2" t="s">
        <v>220</v>
      </c>
      <c r="F170" s="4">
        <v>28000000</v>
      </c>
      <c r="G170" s="3">
        <v>5</v>
      </c>
      <c r="H170" s="2" t="s">
        <v>239</v>
      </c>
      <c r="I170" s="3">
        <v>30</v>
      </c>
      <c r="J170" s="2" t="s">
        <v>239</v>
      </c>
      <c r="K170" s="2" t="s">
        <v>239</v>
      </c>
      <c r="L170" s="3">
        <v>250</v>
      </c>
      <c r="M170" s="4">
        <v>200</v>
      </c>
      <c r="N170" s="3">
        <v>130000000000</v>
      </c>
      <c r="O170" s="3">
        <v>-220</v>
      </c>
      <c r="P170" s="3">
        <v>4642.8571000000002</v>
      </c>
    </row>
    <row r="171" spans="1:16" x14ac:dyDescent="0.25">
      <c r="A171" s="2" t="s">
        <v>29</v>
      </c>
      <c r="B171" s="2" t="s">
        <v>7</v>
      </c>
      <c r="C171" s="2" t="s">
        <v>30</v>
      </c>
      <c r="D171" s="2" t="s">
        <v>215</v>
      </c>
      <c r="E171" s="2" t="s">
        <v>221</v>
      </c>
      <c r="F171" s="4">
        <v>9000000</v>
      </c>
      <c r="G171" s="3">
        <v>0</v>
      </c>
      <c r="H171" s="2" t="s">
        <v>219</v>
      </c>
      <c r="I171" s="3">
        <v>4300</v>
      </c>
      <c r="J171" s="2" t="s">
        <v>220</v>
      </c>
      <c r="K171" s="2" t="s">
        <v>219</v>
      </c>
      <c r="L171" s="3">
        <v>2700</v>
      </c>
      <c r="M171" s="4">
        <v>3</v>
      </c>
      <c r="N171" s="3">
        <v>690000000000</v>
      </c>
      <c r="O171" s="3">
        <v>1600</v>
      </c>
      <c r="P171" s="3">
        <v>76666.666700000002</v>
      </c>
    </row>
    <row r="172" spans="1:16" x14ac:dyDescent="0.25">
      <c r="A172" s="2" t="s">
        <v>79</v>
      </c>
      <c r="B172" s="2" t="s">
        <v>7</v>
      </c>
      <c r="C172" s="2" t="s">
        <v>80</v>
      </c>
      <c r="D172" s="2" t="s">
        <v>215</v>
      </c>
      <c r="E172" s="2" t="s">
        <v>221</v>
      </c>
      <c r="F172" s="4">
        <v>6000000</v>
      </c>
      <c r="G172" s="3">
        <v>0</v>
      </c>
      <c r="H172" s="2" t="s">
        <v>219</v>
      </c>
      <c r="I172" s="3">
        <v>4800</v>
      </c>
      <c r="J172" s="2" t="s">
        <v>219</v>
      </c>
      <c r="K172" s="2" t="s">
        <v>219</v>
      </c>
      <c r="L172" s="3">
        <v>3200</v>
      </c>
      <c r="M172" s="4">
        <v>3</v>
      </c>
      <c r="N172" s="3">
        <v>470000000000</v>
      </c>
      <c r="O172" s="3">
        <v>1600</v>
      </c>
      <c r="P172" s="3">
        <v>78333.333299999998</v>
      </c>
    </row>
    <row r="173" spans="1:16" x14ac:dyDescent="0.25">
      <c r="A173" s="2" t="s">
        <v>94</v>
      </c>
      <c r="B173" s="2" t="s">
        <v>7</v>
      </c>
      <c r="C173" s="2" t="s">
        <v>80</v>
      </c>
      <c r="D173" s="2" t="s">
        <v>215</v>
      </c>
      <c r="E173" s="2" t="s">
        <v>221</v>
      </c>
      <c r="F173" s="4">
        <v>5600000</v>
      </c>
      <c r="G173" s="3">
        <v>0</v>
      </c>
      <c r="H173" s="2" t="s">
        <v>219</v>
      </c>
      <c r="I173" s="3">
        <v>4600</v>
      </c>
      <c r="J173" s="2" t="s">
        <v>219</v>
      </c>
      <c r="K173" s="2" t="s">
        <v>219</v>
      </c>
      <c r="L173" s="3">
        <v>3000</v>
      </c>
      <c r="M173" s="4">
        <v>3</v>
      </c>
      <c r="N173" s="3">
        <v>330000000000</v>
      </c>
      <c r="O173" s="3">
        <v>1600</v>
      </c>
      <c r="P173" s="3">
        <v>58928.571400000001</v>
      </c>
    </row>
    <row r="174" spans="1:16" x14ac:dyDescent="0.25">
      <c r="A174" s="2" t="s">
        <v>112</v>
      </c>
      <c r="B174" s="2" t="s">
        <v>7</v>
      </c>
      <c r="C174" s="2" t="s">
        <v>80</v>
      </c>
      <c r="D174" s="2" t="s">
        <v>215</v>
      </c>
      <c r="E174" s="2" t="s">
        <v>221</v>
      </c>
      <c r="F174" s="4">
        <v>390000</v>
      </c>
      <c r="G174" s="3">
        <v>0</v>
      </c>
      <c r="H174" s="2" t="s">
        <v>219</v>
      </c>
      <c r="I174" s="3">
        <v>5600</v>
      </c>
      <c r="J174" s="2" t="s">
        <v>219</v>
      </c>
      <c r="K174" s="2" t="s">
        <v>219</v>
      </c>
      <c r="L174" s="3">
        <v>3500</v>
      </c>
      <c r="M174" s="4">
        <v>3</v>
      </c>
      <c r="N174" s="3">
        <v>36000000000</v>
      </c>
      <c r="O174" s="3">
        <v>2100</v>
      </c>
      <c r="P174" s="3">
        <v>92307.692299999995</v>
      </c>
    </row>
    <row r="175" spans="1:16" x14ac:dyDescent="0.25">
      <c r="A175" s="2" t="s">
        <v>119</v>
      </c>
      <c r="B175" s="2" t="s">
        <v>7</v>
      </c>
      <c r="C175" s="2" t="s">
        <v>8</v>
      </c>
      <c r="D175" s="2" t="s">
        <v>215</v>
      </c>
      <c r="E175" s="2" t="s">
        <v>221</v>
      </c>
      <c r="F175" s="4">
        <v>59000000</v>
      </c>
      <c r="G175" s="3">
        <v>0</v>
      </c>
      <c r="H175" s="2" t="s">
        <v>219</v>
      </c>
      <c r="I175" s="3">
        <v>3200</v>
      </c>
      <c r="J175" s="2" t="s">
        <v>220</v>
      </c>
      <c r="K175" s="2" t="s">
        <v>220</v>
      </c>
      <c r="L175" s="3">
        <v>2500</v>
      </c>
      <c r="M175" s="4">
        <v>3</v>
      </c>
      <c r="N175" s="3">
        <v>2300000000000</v>
      </c>
      <c r="O175" s="3">
        <v>700</v>
      </c>
      <c r="P175" s="3">
        <v>38983.050799999997</v>
      </c>
    </row>
    <row r="176" spans="1:16" x14ac:dyDescent="0.25">
      <c r="A176" s="2" t="s">
        <v>127</v>
      </c>
      <c r="B176" s="2" t="s">
        <v>4</v>
      </c>
      <c r="C176" s="2" t="s">
        <v>67</v>
      </c>
      <c r="D176" s="2" t="s">
        <v>213</v>
      </c>
      <c r="E176" s="2" t="s">
        <v>219</v>
      </c>
      <c r="F176" s="4">
        <v>26000000</v>
      </c>
      <c r="G176" s="3">
        <v>0</v>
      </c>
      <c r="H176" s="2" t="s">
        <v>239</v>
      </c>
      <c r="I176" s="3">
        <v>0</v>
      </c>
      <c r="J176" s="2" t="s">
        <v>239</v>
      </c>
      <c r="K176" s="2" t="s">
        <v>239</v>
      </c>
      <c r="L176" s="3">
        <v>180</v>
      </c>
      <c r="M176" s="4">
        <v>8</v>
      </c>
      <c r="N176" s="3">
        <v>35000000000</v>
      </c>
      <c r="O176" s="3">
        <v>-180</v>
      </c>
      <c r="P176" s="3">
        <v>1346.1538</v>
      </c>
    </row>
    <row r="177" spans="1:16" x14ac:dyDescent="0.25">
      <c r="A177" s="2" t="s">
        <v>137</v>
      </c>
      <c r="B177" s="2" t="s">
        <v>7</v>
      </c>
      <c r="C177" s="2" t="s">
        <v>30</v>
      </c>
      <c r="D177" s="2" t="s">
        <v>215</v>
      </c>
      <c r="E177" s="2" t="s">
        <v>221</v>
      </c>
      <c r="F177" s="4">
        <v>40000</v>
      </c>
      <c r="G177" s="3">
        <v>0</v>
      </c>
      <c r="H177" s="2" t="s">
        <v>219</v>
      </c>
      <c r="I177" s="3">
        <v>6500</v>
      </c>
      <c r="J177" s="2" t="s">
        <v>219</v>
      </c>
      <c r="K177" s="2" t="s">
        <v>219</v>
      </c>
      <c r="L177" s="3">
        <v>4200</v>
      </c>
      <c r="M177" s="4">
        <v>3</v>
      </c>
      <c r="N177" s="3">
        <v>6000000000</v>
      </c>
      <c r="O177" s="3">
        <v>2300</v>
      </c>
      <c r="P177" s="3">
        <v>150000</v>
      </c>
    </row>
    <row r="178" spans="1:16" x14ac:dyDescent="0.25">
      <c r="A178" s="2" t="s">
        <v>149</v>
      </c>
      <c r="B178" s="2" t="s">
        <v>7</v>
      </c>
      <c r="C178" s="2" t="s">
        <v>30</v>
      </c>
      <c r="D178" s="2" t="s">
        <v>215</v>
      </c>
      <c r="E178" s="2" t="s">
        <v>221</v>
      </c>
      <c r="F178" s="4">
        <v>39000</v>
      </c>
      <c r="G178" s="3">
        <v>0</v>
      </c>
      <c r="H178" s="2" t="s">
        <v>219</v>
      </c>
      <c r="I178" s="3">
        <v>7500</v>
      </c>
      <c r="J178" s="2" t="s">
        <v>219</v>
      </c>
      <c r="K178" s="2" t="s">
        <v>219</v>
      </c>
      <c r="L178" s="3">
        <v>5000</v>
      </c>
      <c r="M178" s="4">
        <v>3</v>
      </c>
      <c r="N178" s="3">
        <v>8000000000</v>
      </c>
      <c r="O178" s="3">
        <v>2500</v>
      </c>
      <c r="P178" s="3">
        <v>205128.20509999999</v>
      </c>
    </row>
    <row r="179" spans="1:16" x14ac:dyDescent="0.25">
      <c r="A179" s="2" t="s">
        <v>160</v>
      </c>
      <c r="B179" s="2" t="s">
        <v>7</v>
      </c>
      <c r="C179" s="2" t="s">
        <v>80</v>
      </c>
      <c r="D179" s="2" t="s">
        <v>215</v>
      </c>
      <c r="E179" s="2" t="s">
        <v>221</v>
      </c>
      <c r="F179" s="4">
        <v>5500000</v>
      </c>
      <c r="G179" s="3">
        <v>0</v>
      </c>
      <c r="H179" s="2" t="s">
        <v>219</v>
      </c>
      <c r="I179" s="3">
        <v>5600</v>
      </c>
      <c r="J179" s="2" t="s">
        <v>219</v>
      </c>
      <c r="K179" s="2" t="s">
        <v>219</v>
      </c>
      <c r="L179" s="3">
        <v>3500</v>
      </c>
      <c r="M179" s="4">
        <v>3</v>
      </c>
      <c r="N179" s="3">
        <v>620000000000</v>
      </c>
      <c r="O179" s="3">
        <v>2100</v>
      </c>
      <c r="P179" s="3">
        <v>112727.2727</v>
      </c>
    </row>
    <row r="180" spans="1:16" x14ac:dyDescent="0.25">
      <c r="A180" s="2" t="s">
        <v>181</v>
      </c>
      <c r="B180" s="2" t="s">
        <v>10</v>
      </c>
      <c r="C180" s="2" t="s">
        <v>56</v>
      </c>
      <c r="D180" s="2" t="s">
        <v>213</v>
      </c>
      <c r="E180" s="2" t="s">
        <v>219</v>
      </c>
      <c r="F180" s="4">
        <v>18000000</v>
      </c>
      <c r="G180" s="3">
        <v>0</v>
      </c>
      <c r="H180" s="2" t="s">
        <v>239</v>
      </c>
      <c r="I180" s="3">
        <v>0</v>
      </c>
      <c r="J180" s="2" t="s">
        <v>239</v>
      </c>
      <c r="K180" s="2" t="s">
        <v>239</v>
      </c>
      <c r="L180" s="3">
        <v>180</v>
      </c>
      <c r="M180" s="4">
        <v>6</v>
      </c>
      <c r="N180" s="3">
        <v>10000000000</v>
      </c>
      <c r="O180" s="3">
        <v>-180</v>
      </c>
      <c r="P180" s="3">
        <v>555.55560000000003</v>
      </c>
    </row>
    <row r="181" spans="1:16" x14ac:dyDescent="0.25">
      <c r="A181" s="2" t="s">
        <v>187</v>
      </c>
      <c r="B181" s="2" t="s">
        <v>7</v>
      </c>
      <c r="C181" s="2" t="s">
        <v>80</v>
      </c>
      <c r="D181" s="2" t="s">
        <v>215</v>
      </c>
      <c r="E181" s="2" t="s">
        <v>221</v>
      </c>
      <c r="F181" s="4">
        <v>10500000</v>
      </c>
      <c r="G181" s="3">
        <v>0</v>
      </c>
      <c r="H181" s="2" t="s">
        <v>219</v>
      </c>
      <c r="I181" s="3">
        <v>5200</v>
      </c>
      <c r="J181" s="2" t="s">
        <v>219</v>
      </c>
      <c r="K181" s="2" t="s">
        <v>219</v>
      </c>
      <c r="L181" s="3">
        <v>3200</v>
      </c>
      <c r="M181" s="4">
        <v>3</v>
      </c>
      <c r="N181" s="3">
        <v>670000000000</v>
      </c>
      <c r="O181" s="3">
        <v>2000</v>
      </c>
      <c r="P181" s="3">
        <v>63809.523800000003</v>
      </c>
    </row>
    <row r="182" spans="1:16" x14ac:dyDescent="0.25">
      <c r="A182" s="2" t="s">
        <v>188</v>
      </c>
      <c r="B182" s="2" t="s">
        <v>7</v>
      </c>
      <c r="C182" s="2" t="s">
        <v>30</v>
      </c>
      <c r="D182" s="2" t="s">
        <v>215</v>
      </c>
      <c r="E182" s="2" t="s">
        <v>221</v>
      </c>
      <c r="F182" s="4">
        <v>9000000</v>
      </c>
      <c r="G182" s="3">
        <v>0</v>
      </c>
      <c r="H182" s="2" t="s">
        <v>219</v>
      </c>
      <c r="I182" s="3">
        <v>6500</v>
      </c>
      <c r="J182" s="2" t="s">
        <v>219</v>
      </c>
      <c r="K182" s="2" t="s">
        <v>219</v>
      </c>
      <c r="L182" s="3">
        <v>4200</v>
      </c>
      <c r="M182" s="4">
        <v>2</v>
      </c>
      <c r="N182" s="3">
        <v>950000000000</v>
      </c>
      <c r="O182" s="3">
        <v>2300</v>
      </c>
      <c r="P182" s="3">
        <v>105555.55560000001</v>
      </c>
    </row>
    <row r="183" spans="1:16" x14ac:dyDescent="0.25">
      <c r="A183" s="2" t="s">
        <v>208</v>
      </c>
      <c r="B183" s="2" t="s">
        <v>10</v>
      </c>
      <c r="C183" s="2" t="s">
        <v>11</v>
      </c>
      <c r="D183" s="2" t="s">
        <v>213</v>
      </c>
      <c r="E183" s="2" t="s">
        <v>219</v>
      </c>
      <c r="F183" s="4">
        <v>600000</v>
      </c>
      <c r="G183" s="3">
        <v>0</v>
      </c>
      <c r="H183" s="2" t="s">
        <v>239</v>
      </c>
      <c r="I183" s="3">
        <v>0</v>
      </c>
      <c r="J183" s="2" t="s">
        <v>239</v>
      </c>
      <c r="K183" s="2" t="s">
        <v>239</v>
      </c>
      <c r="L183" s="3">
        <v>200</v>
      </c>
      <c r="M183" s="4">
        <v>4</v>
      </c>
      <c r="N183" s="3">
        <v>3000000000</v>
      </c>
      <c r="O183" s="3">
        <v>-200</v>
      </c>
      <c r="P183" s="3">
        <v>5000</v>
      </c>
    </row>
  </sheetData>
  <conditionalFormatting sqref="G1:G1048576">
    <cfRule type="top10" dxfId="271" priority="5" rank="10"/>
    <cfRule type="top10" dxfId="270" priority="6" bottom="1" rank="10"/>
    <cfRule type="top10" dxfId="269" priority="7" rank="10"/>
  </conditionalFormatting>
  <conditionalFormatting sqref="I1:I1048576">
    <cfRule type="dataBar" priority="3">
      <dataBar>
        <cfvo type="min"/>
        <cfvo type="max"/>
        <color rgb="FF63C384"/>
      </dataBar>
      <extLst>
        <ext xmlns:x14="http://schemas.microsoft.com/office/spreadsheetml/2009/9/main" uri="{B025F937-C7B1-47D3-B67F-A62EFF666E3E}">
          <x14:id>{0BAB1685-BEDB-4359-85F1-591DB7D8DD14}</x14:id>
        </ext>
      </extLst>
    </cfRule>
  </conditionalFormatting>
  <conditionalFormatting sqref="L1:L1048576">
    <cfRule type="iconSet" priority="2">
      <iconSet iconSet="3Arrows">
        <cfvo type="percent" val="0"/>
        <cfvo type="percent" val="33"/>
        <cfvo type="percent" val="67"/>
      </iconSet>
    </cfRule>
  </conditionalFormatting>
  <conditionalFormatting sqref="O1:O1048576">
    <cfRule type="iconSet" priority="1">
      <iconSet iconSet="3TrafficLights2">
        <cfvo type="percent" val="0"/>
        <cfvo type="percent" val="33"/>
        <cfvo type="percent" val="67"/>
      </iconSet>
    </cfRule>
  </conditionalFormatting>
  <pageMargins left="0.7" right="0.7" top="0.75" bottom="0.75" header="0.3" footer="0.3"/>
  <legacy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0BAB1685-BEDB-4359-85F1-591DB7D8DD14}">
            <x14:dataBar minLength="0" maxLength="100" gradient="0">
              <x14:cfvo type="autoMin"/>
              <x14:cfvo type="autoMax"/>
              <x14:negativeFillColor rgb="FFFF0000"/>
              <x14:axisColor rgb="FF000000"/>
            </x14:dataBar>
          </x14:cfRule>
          <xm:sqref>I1:I1048576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D70"/>
  <sheetViews>
    <sheetView topLeftCell="A49" workbookViewId="0">
      <selection activeCell="A49" sqref="A49"/>
    </sheetView>
  </sheetViews>
  <sheetFormatPr defaultRowHeight="15" x14ac:dyDescent="0.25"/>
  <cols>
    <col min="1" max="1" width="23.85546875" customWidth="1"/>
    <col min="2" max="3" width="17.42578125" customWidth="1"/>
    <col min="4" max="4" width="18" customWidth="1"/>
    <col min="5" max="5" width="21.140625" bestFit="1" customWidth="1"/>
  </cols>
  <sheetData>
    <row r="1" spans="1:4" x14ac:dyDescent="0.25">
      <c r="A1" s="55" t="s">
        <v>261</v>
      </c>
      <c r="B1" s="55" t="s">
        <v>268</v>
      </c>
      <c r="C1" s="55" t="s">
        <v>263</v>
      </c>
      <c r="D1" s="55" t="s">
        <v>262</v>
      </c>
    </row>
    <row r="2" spans="1:4" x14ac:dyDescent="0.25">
      <c r="A2" s="56">
        <v>43969368.131868131</v>
      </c>
      <c r="B2" s="57">
        <v>1587.3626373626373</v>
      </c>
      <c r="C2" s="57">
        <v>501.7032967032967</v>
      </c>
      <c r="D2" s="57">
        <v>23752.757384065921</v>
      </c>
    </row>
    <row r="5" spans="1:4" x14ac:dyDescent="0.25">
      <c r="A5" s="58" t="s">
        <v>212</v>
      </c>
      <c r="B5" s="59" t="s">
        <v>263</v>
      </c>
    </row>
    <row r="6" spans="1:4" x14ac:dyDescent="0.25">
      <c r="A6" s="60" t="s">
        <v>217</v>
      </c>
      <c r="B6" s="57">
        <v>412.5</v>
      </c>
    </row>
    <row r="7" spans="1:4" x14ac:dyDescent="0.25">
      <c r="A7" s="60" t="s">
        <v>213</v>
      </c>
      <c r="B7" s="57">
        <v>73.928571428571431</v>
      </c>
    </row>
    <row r="8" spans="1:4" x14ac:dyDescent="0.25">
      <c r="A8" s="60" t="s">
        <v>214</v>
      </c>
      <c r="B8" s="57">
        <v>256.18644067796612</v>
      </c>
    </row>
    <row r="9" spans="1:4" x14ac:dyDescent="0.25">
      <c r="A9" s="60" t="s">
        <v>216</v>
      </c>
      <c r="B9" s="57">
        <v>475.6521739130435</v>
      </c>
    </row>
    <row r="10" spans="1:4" x14ac:dyDescent="0.25">
      <c r="A10" s="60" t="s">
        <v>215</v>
      </c>
      <c r="B10" s="57">
        <v>1120.3703703703704</v>
      </c>
    </row>
    <row r="14" spans="1:4" x14ac:dyDescent="0.25">
      <c r="A14" s="58" t="s">
        <v>218</v>
      </c>
      <c r="B14" s="55" t="s">
        <v>256</v>
      </c>
      <c r="C14" s="55" t="s">
        <v>260</v>
      </c>
    </row>
    <row r="15" spans="1:4" x14ac:dyDescent="0.25">
      <c r="A15" s="60" t="s">
        <v>220</v>
      </c>
      <c r="B15" s="56">
        <v>3022167000</v>
      </c>
      <c r="C15" s="56">
        <v>59</v>
      </c>
    </row>
    <row r="16" spans="1:4" x14ac:dyDescent="0.25">
      <c r="A16" s="60" t="s">
        <v>221</v>
      </c>
      <c r="B16" s="56">
        <v>1242048000</v>
      </c>
      <c r="C16" s="56">
        <v>54</v>
      </c>
    </row>
    <row r="17" spans="1:4" x14ac:dyDescent="0.25">
      <c r="A17" s="60" t="s">
        <v>222</v>
      </c>
      <c r="B17" s="56">
        <v>2719110000</v>
      </c>
      <c r="C17" s="56">
        <v>27</v>
      </c>
    </row>
    <row r="18" spans="1:4" x14ac:dyDescent="0.25">
      <c r="A18" s="60" t="s">
        <v>219</v>
      </c>
      <c r="B18" s="56">
        <v>1019100000</v>
      </c>
      <c r="C18" s="56">
        <v>42</v>
      </c>
    </row>
    <row r="23" spans="1:4" x14ac:dyDescent="0.25">
      <c r="A23" s="58" t="s">
        <v>218</v>
      </c>
      <c r="B23" s="55" t="s">
        <v>259</v>
      </c>
      <c r="C23" s="55" t="s">
        <v>258</v>
      </c>
      <c r="D23" s="55" t="s">
        <v>256</v>
      </c>
    </row>
    <row r="24" spans="1:4" x14ac:dyDescent="0.25">
      <c r="A24" s="60" t="s">
        <v>220</v>
      </c>
      <c r="B24" s="57">
        <v>44900</v>
      </c>
      <c r="C24" s="57">
        <v>13100</v>
      </c>
      <c r="D24" s="56">
        <v>108425000</v>
      </c>
    </row>
    <row r="25" spans="1:4" x14ac:dyDescent="0.25">
      <c r="A25" s="60" t="s">
        <v>221</v>
      </c>
      <c r="B25" s="57">
        <v>38430</v>
      </c>
      <c r="C25" s="57">
        <v>15365</v>
      </c>
      <c r="D25" s="56">
        <v>2928515000</v>
      </c>
    </row>
    <row r="26" spans="1:4" x14ac:dyDescent="0.25">
      <c r="A26" s="60" t="s">
        <v>224</v>
      </c>
      <c r="B26" s="57">
        <v>37200</v>
      </c>
      <c r="C26" s="57">
        <v>15700</v>
      </c>
      <c r="D26" s="56">
        <v>183230000</v>
      </c>
    </row>
    <row r="27" spans="1:4" x14ac:dyDescent="0.25">
      <c r="A27" s="60" t="s">
        <v>219</v>
      </c>
      <c r="B27" s="57">
        <v>148500</v>
      </c>
      <c r="C27" s="57">
        <v>39850</v>
      </c>
      <c r="D27" s="56">
        <v>996978000</v>
      </c>
    </row>
    <row r="28" spans="1:4" x14ac:dyDescent="0.25">
      <c r="A28" s="60" t="s">
        <v>239</v>
      </c>
      <c r="B28" s="57">
        <v>19870</v>
      </c>
      <c r="C28" s="57">
        <v>7295</v>
      </c>
      <c r="D28" s="56">
        <v>3785277000</v>
      </c>
    </row>
    <row r="33" spans="1:3" x14ac:dyDescent="0.25">
      <c r="A33" s="58" t="s">
        <v>218</v>
      </c>
      <c r="B33" s="55" t="s">
        <v>256</v>
      </c>
      <c r="C33" s="55" t="s">
        <v>258</v>
      </c>
    </row>
    <row r="34" spans="1:3" x14ac:dyDescent="0.25">
      <c r="A34" s="60" t="s">
        <v>220</v>
      </c>
      <c r="B34" s="56">
        <v>3022167000</v>
      </c>
      <c r="C34" s="57">
        <v>15115</v>
      </c>
    </row>
    <row r="35" spans="1:3" x14ac:dyDescent="0.25">
      <c r="A35" s="60" t="s">
        <v>221</v>
      </c>
      <c r="B35" s="56">
        <v>1242048000</v>
      </c>
      <c r="C35" s="57">
        <v>60500</v>
      </c>
    </row>
    <row r="36" spans="1:3" x14ac:dyDescent="0.25">
      <c r="A36" s="60" t="s">
        <v>222</v>
      </c>
      <c r="B36" s="56">
        <v>2719110000</v>
      </c>
      <c r="C36" s="57">
        <v>12590</v>
      </c>
    </row>
    <row r="37" spans="1:3" x14ac:dyDescent="0.25">
      <c r="A37" s="60" t="s">
        <v>219</v>
      </c>
      <c r="B37" s="56">
        <v>1019100000</v>
      </c>
      <c r="C37" s="57">
        <v>3105</v>
      </c>
    </row>
    <row r="44" spans="1:3" x14ac:dyDescent="0.25">
      <c r="A44" s="58" t="s">
        <v>1</v>
      </c>
      <c r="B44" s="55" t="s">
        <v>265</v>
      </c>
      <c r="C44" s="55" t="s">
        <v>264</v>
      </c>
    </row>
    <row r="45" spans="1:3" x14ac:dyDescent="0.25">
      <c r="A45" s="60" t="s">
        <v>10</v>
      </c>
      <c r="B45" s="56">
        <v>28906000</v>
      </c>
      <c r="C45" s="57">
        <v>114.3</v>
      </c>
    </row>
    <row r="46" spans="1:3" x14ac:dyDescent="0.25">
      <c r="A46" s="60" t="s">
        <v>4</v>
      </c>
      <c r="B46" s="56">
        <v>98749375</v>
      </c>
      <c r="C46" s="57">
        <v>517.8125</v>
      </c>
    </row>
    <row r="47" spans="1:3" x14ac:dyDescent="0.25">
      <c r="A47" s="60" t="s">
        <v>7</v>
      </c>
      <c r="B47" s="56">
        <v>17935341.463414636</v>
      </c>
      <c r="C47" s="57">
        <v>800.48780487804879</v>
      </c>
    </row>
    <row r="48" spans="1:3" x14ac:dyDescent="0.25">
      <c r="A48" s="60" t="s">
        <v>19</v>
      </c>
      <c r="B48" s="56">
        <v>25036625</v>
      </c>
      <c r="C48" s="57">
        <v>705.625</v>
      </c>
    </row>
    <row r="49" spans="1:3" x14ac:dyDescent="0.25">
      <c r="A49" s="60" t="s">
        <v>13</v>
      </c>
      <c r="B49" s="56">
        <v>6046714.2857142854</v>
      </c>
      <c r="C49" s="57">
        <v>948.57142857142856</v>
      </c>
    </row>
    <row r="50" spans="1:3" x14ac:dyDescent="0.25">
      <c r="A50" s="60" t="s">
        <v>23</v>
      </c>
      <c r="B50" s="56">
        <v>36550000</v>
      </c>
      <c r="C50" s="57">
        <v>362.08333333333331</v>
      </c>
    </row>
    <row r="54" spans="1:3" x14ac:dyDescent="0.25">
      <c r="A54" s="58" t="s">
        <v>1</v>
      </c>
      <c r="B54" s="59" t="s">
        <v>266</v>
      </c>
    </row>
    <row r="55" spans="1:3" x14ac:dyDescent="0.25">
      <c r="A55" s="60" t="s">
        <v>10</v>
      </c>
      <c r="B55" s="57">
        <v>360.4</v>
      </c>
    </row>
    <row r="56" spans="1:3" x14ac:dyDescent="0.25">
      <c r="A56" s="60" t="s">
        <v>4</v>
      </c>
      <c r="B56" s="57">
        <v>1062.5</v>
      </c>
    </row>
    <row r="57" spans="1:3" x14ac:dyDescent="0.25">
      <c r="A57" s="60" t="s">
        <v>7</v>
      </c>
      <c r="B57" s="57">
        <v>2143.1707317073169</v>
      </c>
    </row>
    <row r="58" spans="1:3" x14ac:dyDescent="0.25">
      <c r="A58" s="60" t="s">
        <v>19</v>
      </c>
      <c r="B58" s="57">
        <v>1540</v>
      </c>
    </row>
    <row r="59" spans="1:3" x14ac:dyDescent="0.25">
      <c r="A59" s="60" t="s">
        <v>13</v>
      </c>
      <c r="B59" s="57">
        <v>1400</v>
      </c>
    </row>
    <row r="60" spans="1:3" x14ac:dyDescent="0.25">
      <c r="A60" s="60" t="s">
        <v>23</v>
      </c>
      <c r="B60" s="57">
        <v>712.5</v>
      </c>
    </row>
    <row r="66" spans="1:2" x14ac:dyDescent="0.25">
      <c r="A66" s="58" t="s">
        <v>218</v>
      </c>
      <c r="B66" s="59" t="s">
        <v>260</v>
      </c>
    </row>
    <row r="67" spans="1:2" x14ac:dyDescent="0.25">
      <c r="A67" s="60" t="s">
        <v>220</v>
      </c>
      <c r="B67" s="56">
        <v>59</v>
      </c>
    </row>
    <row r="68" spans="1:2" x14ac:dyDescent="0.25">
      <c r="A68" s="60" t="s">
        <v>221</v>
      </c>
      <c r="B68" s="56">
        <v>54</v>
      </c>
    </row>
    <row r="69" spans="1:2" x14ac:dyDescent="0.25">
      <c r="A69" s="60" t="s">
        <v>222</v>
      </c>
      <c r="B69" s="56">
        <v>27</v>
      </c>
    </row>
    <row r="70" spans="1:2" x14ac:dyDescent="0.25">
      <c r="A70" s="60" t="s">
        <v>219</v>
      </c>
      <c r="B70" s="56">
        <v>42</v>
      </c>
    </row>
  </sheetData>
  <pageMargins left="0.7" right="0.7" top="0.75" bottom="0.75" header="0.3" footer="0.3"/>
  <pageSetup paperSize="9" orientation="portrait" r:id="rId9"/>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2" tint="-0.89999084444715716"/>
  </sheetPr>
  <dimension ref="A1:G66"/>
  <sheetViews>
    <sheetView showGridLines="0" tabSelected="1" zoomScale="120" zoomScaleNormal="120" workbookViewId="0">
      <selection activeCell="H6" sqref="H6"/>
    </sheetView>
  </sheetViews>
  <sheetFormatPr defaultRowHeight="18.75" x14ac:dyDescent="0.3"/>
  <cols>
    <col min="1" max="1" width="24.42578125" style="52" customWidth="1"/>
    <col min="2" max="2" width="2.7109375" style="52" customWidth="1"/>
    <col min="3" max="4" width="24.7109375" style="52" bestFit="1" customWidth="1"/>
    <col min="5" max="5" width="8.42578125" style="52" bestFit="1" customWidth="1"/>
    <col min="6" max="6" width="27.7109375" style="52" bestFit="1" customWidth="1"/>
    <col min="7" max="7" width="34.7109375" style="52" customWidth="1"/>
    <col min="8" max="8" width="12.5703125" style="52" customWidth="1"/>
    <col min="9" max="9" width="9.140625" style="52"/>
    <col min="10" max="10" width="0.140625" style="52" customWidth="1"/>
    <col min="11" max="16384" width="9.140625" style="52"/>
  </cols>
  <sheetData>
    <row r="1" spans="1:7" ht="20.25" customHeight="1" x14ac:dyDescent="0.35">
      <c r="A1" s="53"/>
      <c r="B1" s="41"/>
      <c r="C1" s="41"/>
      <c r="D1" s="41"/>
      <c r="E1" s="41"/>
      <c r="F1" s="41"/>
      <c r="G1" s="41"/>
    </row>
    <row r="2" spans="1:7" ht="21" customHeight="1" x14ac:dyDescent="0.35">
      <c r="A2" s="53"/>
      <c r="B2" s="41"/>
      <c r="C2" s="41"/>
      <c r="D2" s="41"/>
      <c r="E2" s="41"/>
      <c r="F2" s="41"/>
      <c r="G2" s="41"/>
    </row>
    <row r="3" spans="1:7" ht="19.5" customHeight="1" x14ac:dyDescent="0.35">
      <c r="A3" s="53"/>
      <c r="B3" s="41"/>
      <c r="C3" s="41"/>
      <c r="D3" s="41"/>
      <c r="E3" s="41"/>
      <c r="F3" s="41"/>
      <c r="G3" s="41"/>
    </row>
    <row r="4" spans="1:7" ht="20.25" customHeight="1" x14ac:dyDescent="0.35">
      <c r="A4" s="53"/>
      <c r="B4" s="41"/>
      <c r="C4" s="41"/>
      <c r="D4" s="41"/>
      <c r="E4" s="41"/>
      <c r="F4" s="41"/>
      <c r="G4" s="41"/>
    </row>
    <row r="5" spans="1:7" ht="19.5" customHeight="1" x14ac:dyDescent="0.35">
      <c r="A5" s="53"/>
      <c r="B5" s="41"/>
      <c r="C5" s="41"/>
      <c r="D5" s="41"/>
      <c r="E5" s="41"/>
      <c r="F5" s="41"/>
      <c r="G5" s="41"/>
    </row>
    <row r="6" spans="1:7" ht="18.75" customHeight="1" x14ac:dyDescent="0.35">
      <c r="A6" s="53"/>
      <c r="B6" s="41"/>
      <c r="C6" s="41"/>
      <c r="D6" s="41"/>
      <c r="E6" s="41"/>
      <c r="F6" s="41"/>
      <c r="G6" s="41"/>
    </row>
    <row r="7" spans="1:7" ht="23.25" customHeight="1" x14ac:dyDescent="0.35">
      <c r="A7" s="53"/>
      <c r="B7" s="41"/>
      <c r="C7" s="41"/>
      <c r="D7" s="41"/>
      <c r="E7" s="41"/>
      <c r="F7" s="41"/>
      <c r="G7" s="41"/>
    </row>
    <row r="8" spans="1:7" ht="21" x14ac:dyDescent="0.35">
      <c r="A8" s="53"/>
      <c r="B8" s="41"/>
      <c r="C8" s="41"/>
      <c r="D8" s="41"/>
      <c r="E8" s="41"/>
      <c r="F8" s="41"/>
      <c r="G8" s="41"/>
    </row>
    <row r="9" spans="1:7" ht="21" x14ac:dyDescent="0.35">
      <c r="A9" s="53"/>
      <c r="B9" s="41"/>
      <c r="C9" s="61" t="s">
        <v>1</v>
      </c>
      <c r="D9" s="61" t="s">
        <v>267</v>
      </c>
      <c r="E9" s="41"/>
      <c r="F9" s="54" t="s">
        <v>218</v>
      </c>
      <c r="G9" s="54" t="s">
        <v>269</v>
      </c>
    </row>
    <row r="10" spans="1:7" ht="21" x14ac:dyDescent="0.35">
      <c r="A10" s="53"/>
      <c r="B10" s="41"/>
      <c r="C10" s="41" t="str">
        <f t="shared" ref="C10:C15" si="0">IF(A55=0," ",A55)</f>
        <v>Africa</v>
      </c>
      <c r="D10" s="11">
        <f t="shared" ref="D10:D15" si="1">IF(C10="Africa",B55,IF(C10="Asia",B55,IF(C10="Europe",B55,IF(C10="North America",B55,IF(C10="Oceania",B55,IF(C10="South America",B55," "))))))</f>
        <v>360.4</v>
      </c>
      <c r="E10" s="41"/>
      <c r="F10" s="41" t="str">
        <f>IF(A63=0," ",A63)</f>
        <v>High</v>
      </c>
      <c r="G10" s="41">
        <f>IF(F10="High",B63,IF(F10="Low",B64,IF(F10="Moderate",B65,IF(F10="Very High",B66," "))))</f>
        <v>59</v>
      </c>
    </row>
    <row r="11" spans="1:7" ht="15" customHeight="1" x14ac:dyDescent="0.35">
      <c r="A11" s="53"/>
      <c r="B11" s="41"/>
      <c r="C11" s="41" t="str">
        <f t="shared" si="0"/>
        <v>Asia</v>
      </c>
      <c r="D11" s="11">
        <f t="shared" si="1"/>
        <v>1062.5</v>
      </c>
      <c r="E11" s="41"/>
      <c r="F11" s="41" t="str">
        <f>IF(A64=0," ",A64)</f>
        <v>Low</v>
      </c>
      <c r="G11" s="41">
        <f>IF(F11="High",B63,IF(F11="Low",B64,IF(F11="Moderate",B65,IF(F11="Very High",B66," "))))</f>
        <v>54</v>
      </c>
    </row>
    <row r="12" spans="1:7" ht="15" customHeight="1" x14ac:dyDescent="0.35">
      <c r="A12" s="53"/>
      <c r="B12" s="41"/>
      <c r="C12" s="41" t="str">
        <f t="shared" si="0"/>
        <v>Europe</v>
      </c>
      <c r="D12" s="11">
        <f t="shared" si="1"/>
        <v>2143.1707317073169</v>
      </c>
      <c r="E12" s="41"/>
      <c r="F12" s="41" t="str">
        <f>IF(A65=0," ",A65)</f>
        <v>Moderate</v>
      </c>
      <c r="G12" s="41">
        <f>IF(F12="High",B63,IF(F12="Low",B64,IF(F12="Moderate",B65,IF(F12="Very High",B66," "))))</f>
        <v>27</v>
      </c>
    </row>
    <row r="13" spans="1:7" ht="21" x14ac:dyDescent="0.35">
      <c r="A13" s="53"/>
      <c r="B13" s="41"/>
      <c r="C13" s="41" t="str">
        <f t="shared" si="0"/>
        <v>North America</v>
      </c>
      <c r="D13" s="11">
        <f t="shared" si="1"/>
        <v>1540</v>
      </c>
      <c r="E13" s="41"/>
      <c r="F13" s="41" t="str">
        <f>IF(A66=0," ",A66)</f>
        <v>Very High</v>
      </c>
      <c r="G13" s="41">
        <f>IF(F13="High",B63,IF(F13="Low",B64,IF(F13="Moderate",B65,IF(F13="Very High",B66," "))))</f>
        <v>42</v>
      </c>
    </row>
    <row r="14" spans="1:7" ht="21" x14ac:dyDescent="0.35">
      <c r="A14" s="53"/>
      <c r="B14" s="41"/>
      <c r="C14" s="41" t="str">
        <f t="shared" si="0"/>
        <v>Oceania</v>
      </c>
      <c r="D14" s="11">
        <f t="shared" si="1"/>
        <v>1400</v>
      </c>
      <c r="E14" s="41"/>
      <c r="F14" s="41"/>
      <c r="G14" s="41"/>
    </row>
    <row r="15" spans="1:7" ht="21" x14ac:dyDescent="0.35">
      <c r="A15" s="53"/>
      <c r="B15" s="41"/>
      <c r="C15" s="41" t="str">
        <f t="shared" si="0"/>
        <v>South America</v>
      </c>
      <c r="D15" s="11">
        <f t="shared" si="1"/>
        <v>712.5</v>
      </c>
      <c r="E15" s="41"/>
      <c r="F15" s="41"/>
      <c r="G15" s="41"/>
    </row>
    <row r="16" spans="1:7" ht="21" x14ac:dyDescent="0.35">
      <c r="A16" s="53"/>
      <c r="B16" s="41"/>
      <c r="C16" s="66" t="s">
        <v>257</v>
      </c>
      <c r="D16" s="66"/>
      <c r="E16" s="66"/>
      <c r="F16" s="66"/>
      <c r="G16" s="66"/>
    </row>
    <row r="17" spans="1:7" ht="21" x14ac:dyDescent="0.35">
      <c r="A17" s="53"/>
      <c r="B17" s="41"/>
      <c r="C17" s="41"/>
      <c r="D17" s="41"/>
      <c r="E17" s="41"/>
      <c r="F17" s="41"/>
      <c r="G17" s="41"/>
    </row>
    <row r="18" spans="1:7" ht="21" x14ac:dyDescent="0.35">
      <c r="A18" s="53"/>
      <c r="B18" s="41"/>
      <c r="C18" s="41"/>
      <c r="D18" s="41"/>
      <c r="E18" s="41"/>
      <c r="F18" s="41"/>
      <c r="G18" s="41"/>
    </row>
    <row r="19" spans="1:7" ht="21" x14ac:dyDescent="0.35">
      <c r="A19" s="53"/>
      <c r="B19" s="41"/>
      <c r="C19" s="41"/>
      <c r="D19" s="41"/>
      <c r="E19" s="41"/>
      <c r="F19" s="41"/>
      <c r="G19" s="41"/>
    </row>
    <row r="20" spans="1:7" ht="21" x14ac:dyDescent="0.35">
      <c r="A20" s="53"/>
      <c r="B20" s="41"/>
      <c r="C20" s="41"/>
      <c r="D20" s="41"/>
      <c r="E20" s="41"/>
      <c r="F20" s="41"/>
      <c r="G20" s="41"/>
    </row>
    <row r="21" spans="1:7" ht="21" x14ac:dyDescent="0.35">
      <c r="A21" s="53"/>
      <c r="B21" s="41"/>
      <c r="C21" s="41"/>
      <c r="D21" s="41"/>
      <c r="E21" s="41"/>
      <c r="F21" s="41"/>
      <c r="G21" s="41"/>
    </row>
    <row r="22" spans="1:7" ht="21" x14ac:dyDescent="0.35">
      <c r="A22" s="53"/>
      <c r="B22" s="41"/>
      <c r="C22" s="41"/>
      <c r="D22" s="41"/>
      <c r="E22" s="41"/>
      <c r="F22" s="41"/>
      <c r="G22" s="41"/>
    </row>
    <row r="23" spans="1:7" ht="21" x14ac:dyDescent="0.35">
      <c r="A23" s="53"/>
      <c r="B23" s="41"/>
      <c r="C23" s="41"/>
      <c r="D23" s="41"/>
      <c r="E23" s="41"/>
      <c r="F23" s="41"/>
      <c r="G23" s="41"/>
    </row>
    <row r="24" spans="1:7" ht="21" x14ac:dyDescent="0.35">
      <c r="A24" s="53"/>
      <c r="B24" s="41"/>
      <c r="C24" s="41"/>
      <c r="D24" s="41"/>
      <c r="E24" s="41"/>
      <c r="F24" s="41"/>
      <c r="G24" s="41"/>
    </row>
    <row r="25" spans="1:7" ht="21" x14ac:dyDescent="0.35">
      <c r="A25" s="53"/>
      <c r="B25" s="41"/>
      <c r="C25" s="41"/>
      <c r="D25" s="41"/>
      <c r="E25" s="41"/>
      <c r="F25" s="41"/>
      <c r="G25" s="41"/>
    </row>
    <row r="26" spans="1:7" ht="21" x14ac:dyDescent="0.35">
      <c r="A26" s="53"/>
      <c r="B26" s="41"/>
      <c r="C26" s="41"/>
      <c r="D26" s="41"/>
      <c r="E26" s="41"/>
      <c r="F26" s="41"/>
      <c r="G26" s="41"/>
    </row>
    <row r="27" spans="1:7" ht="21" x14ac:dyDescent="0.35">
      <c r="A27" s="53"/>
      <c r="B27" s="41"/>
      <c r="C27" s="41"/>
      <c r="D27" s="41"/>
      <c r="E27" s="41"/>
      <c r="F27" s="41"/>
      <c r="G27" s="41"/>
    </row>
    <row r="28" spans="1:7" ht="21" x14ac:dyDescent="0.35">
      <c r="A28" s="53"/>
      <c r="B28" s="41"/>
      <c r="C28" s="41"/>
      <c r="D28" s="41"/>
      <c r="E28" s="41"/>
      <c r="F28" s="41"/>
      <c r="G28" s="41"/>
    </row>
    <row r="29" spans="1:7" ht="21" x14ac:dyDescent="0.35">
      <c r="A29" s="53"/>
      <c r="B29" s="41"/>
      <c r="C29" s="41"/>
      <c r="D29" s="41"/>
      <c r="E29" s="41"/>
      <c r="F29" s="41"/>
      <c r="G29" s="41"/>
    </row>
    <row r="30" spans="1:7" ht="21" x14ac:dyDescent="0.35">
      <c r="A30" s="53"/>
      <c r="B30" s="41"/>
      <c r="C30" s="41"/>
      <c r="D30" s="41"/>
      <c r="E30" s="41"/>
      <c r="F30" s="41"/>
      <c r="G30" s="41"/>
    </row>
    <row r="31" spans="1:7" ht="21" x14ac:dyDescent="0.35">
      <c r="A31" s="53"/>
      <c r="B31" s="41"/>
      <c r="C31" s="41"/>
      <c r="D31" s="41"/>
      <c r="E31" s="41"/>
      <c r="F31" s="41"/>
      <c r="G31" s="41"/>
    </row>
    <row r="32" spans="1:7" ht="21" x14ac:dyDescent="0.35">
      <c r="B32" s="41"/>
      <c r="C32" s="41"/>
      <c r="D32" s="41"/>
      <c r="E32" s="41"/>
      <c r="F32" s="41"/>
      <c r="G32" s="41"/>
    </row>
    <row r="33" spans="2:7" ht="21" x14ac:dyDescent="0.35">
      <c r="B33" s="41"/>
      <c r="C33" s="41"/>
      <c r="D33" s="41"/>
      <c r="E33" s="41"/>
      <c r="F33" s="41"/>
      <c r="G33" s="41"/>
    </row>
    <row r="55" spans="1:2" x14ac:dyDescent="0.3">
      <c r="A55" s="52" t="str">
        <f>PivotTable!A55</f>
        <v>Africa</v>
      </c>
      <c r="B55" s="52">
        <f>PivotTable!B55</f>
        <v>360.4</v>
      </c>
    </row>
    <row r="56" spans="1:2" x14ac:dyDescent="0.3">
      <c r="A56" s="52" t="str">
        <f>PivotTable!A56</f>
        <v>Asia</v>
      </c>
      <c r="B56" s="52">
        <f>PivotTable!B56</f>
        <v>1062.5</v>
      </c>
    </row>
    <row r="57" spans="1:2" x14ac:dyDescent="0.3">
      <c r="A57" s="52" t="str">
        <f>PivotTable!A57</f>
        <v>Europe</v>
      </c>
      <c r="B57" s="52">
        <f>PivotTable!B57</f>
        <v>2143.1707317073169</v>
      </c>
    </row>
    <row r="58" spans="1:2" x14ac:dyDescent="0.3">
      <c r="A58" s="52" t="str">
        <f>PivotTable!A58</f>
        <v>North America</v>
      </c>
      <c r="B58" s="52">
        <f>PivotTable!B58</f>
        <v>1540</v>
      </c>
    </row>
    <row r="59" spans="1:2" x14ac:dyDescent="0.3">
      <c r="A59" s="52" t="str">
        <f>PivotTable!A59</f>
        <v>Oceania</v>
      </c>
      <c r="B59" s="52">
        <f>PivotTable!B59</f>
        <v>1400</v>
      </c>
    </row>
    <row r="60" spans="1:2" x14ac:dyDescent="0.3">
      <c r="A60" s="52" t="str">
        <f>PivotTable!A60</f>
        <v>South America</v>
      </c>
      <c r="B60" s="52">
        <f>GETPIVOTDATA("Estimated Total Monthly Cost(USD)",PivotTable!$A$54,"Continent","South America")</f>
        <v>712.5</v>
      </c>
    </row>
    <row r="63" spans="1:2" x14ac:dyDescent="0.3">
      <c r="A63" s="52" t="str">
        <f>PivotTable!A67</f>
        <v>High</v>
      </c>
      <c r="B63" s="52">
        <f>PivotTable!B67</f>
        <v>59</v>
      </c>
    </row>
    <row r="64" spans="1:2" x14ac:dyDescent="0.3">
      <c r="A64" s="52" t="str">
        <f>PivotTable!A68</f>
        <v>Low</v>
      </c>
      <c r="B64" s="52">
        <f>PivotTable!B68</f>
        <v>54</v>
      </c>
    </row>
    <row r="65" spans="1:2" x14ac:dyDescent="0.3">
      <c r="A65" s="52" t="str">
        <f>PivotTable!A69</f>
        <v>Moderate</v>
      </c>
      <c r="B65" s="52">
        <f>PivotTable!B69</f>
        <v>27</v>
      </c>
    </row>
    <row r="66" spans="1:2" x14ac:dyDescent="0.3">
      <c r="A66" s="52" t="str">
        <f>PivotTable!A70</f>
        <v>Very High</v>
      </c>
      <c r="B66" s="52">
        <f>PivotTable!B70</f>
        <v>42</v>
      </c>
    </row>
  </sheetData>
  <mergeCells count="1">
    <mergeCell ref="C16:G16"/>
  </mergeCells>
  <pageMargins left="0.7" right="0.7" top="0.75" bottom="0.75" header="0.3" footer="0.3"/>
  <pageSetup paperSize="9" orientation="portrait" r:id="rId1"/>
  <drawing r:id="rId2"/>
  <legacy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24BE610-1824-4347-8251-760A72AE64A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4</vt:i4>
      </vt:variant>
    </vt:vector>
  </HeadingPairs>
  <TitlesOfParts>
    <vt:vector size="13" baseType="lpstr">
      <vt:lpstr>MainTable</vt:lpstr>
      <vt:lpstr>column function &amp; word replace</vt:lpstr>
      <vt:lpstr>Formulas</vt:lpstr>
      <vt:lpstr>Table with filter</vt:lpstr>
      <vt:lpstr>powerQuery Table</vt:lpstr>
      <vt:lpstr>lookup_functions</vt:lpstr>
      <vt:lpstr>Conditional_formatting</vt:lpstr>
      <vt:lpstr>PivotTable</vt:lpstr>
      <vt:lpstr>Dashboard</vt:lpstr>
      <vt:lpstr>'column function &amp; word replace'!a.csv_3</vt:lpstr>
      <vt:lpstr>Formulas!a.csv_3</vt:lpstr>
      <vt:lpstr>MainTable!a.csv_3</vt:lpstr>
      <vt:lpstr>powerquery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2026-05-05T08:08:20Z</dcterms:created>
  <dcterms:modified xsi:type="dcterms:W3CDTF">2026-05-14T22:31:20Z</dcterms:modified>
</cp:coreProperties>
</file>